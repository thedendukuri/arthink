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OptionsChain" sheetId="4" state="visible" r:id="rId4"/>
    <sheet xmlns:r="http://schemas.openxmlformats.org/officeDocument/2006/relationships" name="StrategyCalc" sheetId="5" state="visible" r:id="rId5"/>
    <sheet xmlns:r="http://schemas.openxmlformats.org/officeDocument/2006/relationships" name="PositionSizer" sheetId="6" state="visible" r:id="rId6"/>
    <sheet xmlns:r="http://schemas.openxmlformats.org/officeDocument/2006/relationships" name="Positions" sheetId="7" state="visible" r:id="rId7"/>
    <sheet xmlns:r="http://schemas.openxmlformats.org/officeDocument/2006/relationships" name="Journal" sheetId="8" state="visible" r:id="rId8"/>
  </sheets>
  <definedNames>
    <definedName name="account_size">Config!$B$5</definedName>
    <definedName name="api_key">Config!$B$4</definedName>
    <definedName name="max_risk_dollars">Config!$B$7</definedName>
    <definedName name="risk_pct">Config!$B$6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\$#,##0;&quot;($&quot;#,##0\);\-"/>
    <numFmt numFmtId="165" formatCode="0.0%"/>
    <numFmt numFmtId="166" formatCode="\$#,##0.00;&quot;($&quot;#,##0.00\);\-"/>
    <numFmt numFmtId="167" formatCode="0.00%;\(0.00%\);\-"/>
    <numFmt numFmtId="168" formatCode="#,##0;\-#,##0;\-"/>
    <numFmt numFmtId="169" formatCode="0.0%;\(0.0%\);\-"/>
    <numFmt numFmtId="170" formatCode="\$#,##0.00"/>
    <numFmt numFmtId="171" formatCode="yyyy\-mm\-dd"/>
  </numFmts>
  <fonts count="15">
    <font>
      <name val="Calibri"/>
      <charset val="1"/>
      <family val="2"/>
      <color theme="1"/>
      <sz val="11"/>
    </font>
    <font>
      <name val="Arial"/>
      <family val="2"/>
      <b val="1"/>
      <color rgb="FF1F3864"/>
      <sz val="16"/>
    </font>
    <font>
      <name val="Arial"/>
      <family val="2"/>
      <i val="1"/>
      <color rgb="FF595959"/>
      <sz val="9"/>
    </font>
    <font>
      <name val="Arial"/>
      <family val="2"/>
      <sz val="10"/>
    </font>
    <font>
      <name val="Arial"/>
      <family val="2"/>
      <b val="1"/>
      <color rgb="FFC00000"/>
      <sz val="12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b val="1"/>
      <color rgb="FF0000FF"/>
      <sz val="10"/>
    </font>
    <font>
      <name val="Arial"/>
      <family val="2"/>
      <color rgb="FF000000"/>
      <sz val="10"/>
    </font>
    <font>
      <name val="Arial"/>
      <family val="2"/>
      <b val="1"/>
      <sz val="11"/>
    </font>
    <font>
      <name val="Arial"/>
      <family val="2"/>
      <b val="1"/>
      <color rgb="FFFFFFFF"/>
      <sz val="10"/>
    </font>
    <font>
      <name val="Arial"/>
      <family val="2"/>
      <b val="1"/>
      <sz val="12"/>
    </font>
    <font>
      <name val="Arial"/>
      <family val="2"/>
      <b val="1"/>
      <i val="1"/>
      <sz val="11"/>
    </font>
    <font>
      <name val="Arial"/>
      <family val="2"/>
      <b val="1"/>
      <sz val="9"/>
    </font>
    <font>
      <name val="Arial"/>
      <family val="2"/>
      <color rgb="FF008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A6A6A6"/>
        <bgColor rgb="FFBFBFB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49" fontId="7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left" vertical="center" wrapText="1"/>
    </xf>
    <xf numFmtId="165" fontId="7" fillId="3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 wrapText="1"/>
    </xf>
    <xf numFmtId="1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7" fontId="3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9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166" fontId="3" fillId="4" borderId="0" applyAlignment="1" pivotButton="0" quotePrefix="0" xfId="0">
      <alignment horizontal="right" vertical="center"/>
    </xf>
    <xf numFmtId="167" fontId="3" fillId="4" borderId="0" applyAlignment="1" pivotButton="0" quotePrefix="0" xfId="0">
      <alignment horizontal="right" vertical="center"/>
    </xf>
    <xf numFmtId="168" fontId="3" fillId="4" borderId="0" applyAlignment="1" pivotButton="0" quotePrefix="0" xfId="0">
      <alignment horizontal="right" vertical="center"/>
    </xf>
    <xf numFmtId="169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7" fillId="3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66" fontId="6" fillId="3" borderId="0" applyAlignment="1" pivotButton="0" quotePrefix="0" xfId="0">
      <alignment horizontal="center" vertical="center"/>
    </xf>
    <xf numFmtId="170" fontId="7" fillId="3" borderId="1" pivotButton="0" quotePrefix="0" xfId="0"/>
    <xf numFmtId="0" fontId="7" fillId="3" borderId="1" pivotButton="0" quotePrefix="0" xfId="0"/>
    <xf numFmtId="166" fontId="7" fillId="3" borderId="1" applyAlignment="1" pivotButton="0" quotePrefix="0" xfId="0">
      <alignment horizontal="center" vertical="center"/>
    </xf>
    <xf numFmtId="166" fontId="8" fillId="0" borderId="1" pivotButton="0" quotePrefix="0" xfId="0"/>
    <xf numFmtId="166" fontId="8" fillId="0" borderId="0" pivotButton="0" quotePrefix="0" xfId="0"/>
    <xf numFmtId="0" fontId="11" fillId="0" borderId="0" pivotButton="0" quotePrefix="0" xfId="0"/>
    <xf numFmtId="170" fontId="8" fillId="0" borderId="0" pivotButton="0" quotePrefix="0" xfId="0"/>
    <xf numFmtId="169" fontId="8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170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70" fontId="0" fillId="4" borderId="0" pivotButton="0" quotePrefix="0" xfId="0"/>
    <xf numFmtId="168" fontId="0" fillId="4" borderId="0" pivotButton="0" quotePrefix="0" xfId="0"/>
    <xf numFmtId="165" fontId="0" fillId="4" borderId="0" pivotButton="0" quotePrefix="0" xfId="0"/>
    <xf numFmtId="0" fontId="2" fillId="4" borderId="0" pivotButton="0" quotePrefix="0" xfId="0"/>
    <xf numFmtId="171" fontId="7" fillId="3" borderId="1" pivotButton="0" quotePrefix="0" xfId="0"/>
    <xf numFmtId="166" fontId="7" fillId="3" borderId="1" pivotButton="0" quotePrefix="0" xfId="0"/>
    <xf numFmtId="166" fontId="14" fillId="0" borderId="1" pivotButton="0" quotePrefix="0" xfId="0"/>
    <xf numFmtId="166" fontId="9" fillId="0" borderId="0" pivotButton="0" quotePrefix="0" xfId="0"/>
    <xf numFmtId="171" fontId="7" fillId="3" borderId="1" applyAlignment="1" pivotButton="0" quotePrefix="0" xfId="0">
      <alignment horizontal="left" vertical="center" wrapText="1"/>
    </xf>
    <xf numFmtId="166" fontId="7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Dashboard</author>
  </authors>
  <commentList>
    <comment ref="D3" authorId="0" shapeId="0">
      <text>
        <t>Leave blank for nearest weekly. Format YYYY-MM-DD for specific expiry. Re-run polygon_refresh.py after changing.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7"/>
  <sheetViews>
    <sheetView zoomScaleNormal="100" workbookViewId="0">
      <selection activeCell="A1" sqref="A1"/>
    </sheetView>
  </sheetViews>
  <sheetFormatPr baseColWidth="10" defaultColWidth="8.6640625" defaultRowHeight="15"/>
  <cols>
    <col width="3" customWidth="1" style="65" min="1" max="1"/>
    <col width="100" customWidth="1" style="65" min="2" max="2"/>
  </cols>
  <sheetData>
    <row r="1" ht="20" customHeight="1" s="65">
      <c r="B1" s="64" t="inlineStr">
        <is>
          <t>Options Trading Dashboard — Read Me First</t>
        </is>
      </c>
    </row>
    <row r="2">
      <c r="B2" s="3" t="inlineStr">
        <is>
          <t>A Polygon.io-powered options dashboard for tracking S&amp;P 500 names, modeling strategies, and managing risk on a small account.</t>
        </is>
      </c>
    </row>
    <row r="4" ht="97.5" customHeight="1" s="65">
      <c r="B4" s="70" t="inlineStr">
        <is>
          <t>RISK WARNING  —  Options trading carries substantial risk of loss, including total loss of principal, and can result in losses exceeding deposited capital when using uncovered/short strategies. Past performance does not predict future results. Targeting 10x+ returns over short periods (e.g., $1k → $10k+ in 2 months) is statistically improbable; historically, the strategies capable of such returns (0DTE far-OTM lottos, naked positions) have base rates that wipe out the overwhelming majority of accounts. This tool is informational. It is not investment advice.</t>
        </is>
      </c>
    </row>
    <row r="6" ht="19.5" customHeight="1" s="65">
      <c r="B6" s="4" t="inlineStr">
        <is>
          <t>SETUP — 5 STEPS</t>
        </is>
      </c>
    </row>
    <row r="7" ht="55.5" customHeight="1" s="65">
      <c r="B7" s="70" t="inlineStr">
        <is>
          <t>1. Get a Polygon API key  —  Sign up at https://polygon.io. Free tier gives end-of-day stock data with delays. To get real-time options data you need at minimum the Options Starter plan (~$29–99/mo at time of writing — verify current pricing). Without a paid options tier, the chain refresh will return 15-min delayed or limited data.</t>
        </is>
      </c>
    </row>
    <row r="8" ht="19.5" customHeight="1" s="65">
      <c r="B8" s="70" t="inlineStr">
        <is>
          <t>2. Install Python dependencies  —  Run: pip install openpyxl requests pandas polygon-api-client --break-system-packages</t>
        </is>
      </c>
    </row>
    <row r="9" ht="27.75" customHeight="1" s="65">
      <c r="B9" s="70" t="inlineStr">
        <is>
          <t>3. Paste your API key into the Config sheet  —  Go to the Config sheet, cell B3, and paste your Polygon API key into the yellow cell. Set your account size in B4. Set your max-risk-per-trade % in B5.</t>
        </is>
      </c>
    </row>
    <row r="10" ht="42" customHeight="1" s="65">
      <c r="B10" s="70" t="inlineStr">
        <is>
          <t>4. Edit your watchlist  —  Go to Watchlist sheet. Tickers in column A drive what the refresh script pulls. Pre-filled with major indices and the most-liquid S&amp;P 500 names. You can add/remove rows. Saving the file is required before refresh.</t>
        </is>
      </c>
    </row>
    <row r="11" ht="55.5" customHeight="1" s="65">
      <c r="B11" s="70" t="inlineStr">
        <is>
          <t>5. Refresh data  —  From terminal in this folder run: python polygon_refresh.py — it reads your config, pulls quotes + options chains for the watchlist, writes into this workbook, and saves. Re-run any time. Set up cron/Task Scheduler for automatic refresh (see polygon_refresh.py header for instructions).</t>
        </is>
      </c>
    </row>
    <row r="13" ht="19.5" customHeight="1" s="65">
      <c r="B13" s="4" t="inlineStr">
        <is>
          <t>SHEET MAP</t>
        </is>
      </c>
    </row>
    <row r="14" ht="19.5" customHeight="1" s="65">
      <c r="B14" s="70" t="inlineStr">
        <is>
          <t>• Config  —  API key, account size, risk parameters, refresh log.</t>
        </is>
      </c>
    </row>
    <row r="15" ht="27.75" customHeight="1" s="65">
      <c r="B15" s="70" t="inlineStr">
        <is>
          <t>• Watchlist  —  Live quotes (last, change, %, bid/ask, volume, IV rank) for the tickers you track. Refreshed by polygon_refresh.py.</t>
        </is>
      </c>
    </row>
    <row r="16" ht="27.75" customHeight="1" s="65">
      <c r="B16" s="70" t="inlineStr">
        <is>
          <t>• OptionsChain  —  Filtered options chain for one selected ticker + expiration. Change the ticker/expiry in the yellow cells, then re-run refresh to pull that chain.</t>
        </is>
      </c>
    </row>
    <row r="17" ht="42" customHeight="1" s="65">
      <c r="B17" s="70" t="inlineStr">
        <is>
          <t>• StrategyCalc  —  Pick a strategy template (Long Call, Long Put, Bull Call Spread, Bear Put Spread, Iron Condor, Cash-Secured Put, Covered Call, Straddle). Input legs and underlying price. Sheet computes max profit, max loss, breakevens, and risk/reward.</t>
        </is>
      </c>
    </row>
    <row r="18" ht="27.75" customHeight="1" s="65">
      <c r="B18" s="70" t="inlineStr">
        <is>
          <t>• PositionSizer  —  Given account size and max-risk-per-trade %, computes max contracts you can buy for any given option price. Critical for small accounts: prevents single-trade ruin.</t>
        </is>
      </c>
    </row>
    <row r="19" ht="27.75" customHeight="1" s="65">
      <c r="B19" s="70" t="inlineStr">
        <is>
          <t>• Positions  —  Manual log of open positions. Real-time mark and P&amp;L populated by the refresh script (if the option ticker is provided).</t>
        </is>
      </c>
    </row>
    <row r="20" ht="27.75" customHeight="1" s="65">
      <c r="B20" s="70" t="inlineStr">
        <is>
          <t>• Journal  —  Trade journal — date, ticker, thesis, outcome, lesson. Use it. The traders who survive are the ones who learn from each trade.</t>
        </is>
      </c>
    </row>
    <row r="22" ht="19.5" customHeight="1" s="65">
      <c r="B22" s="4" t="inlineStr">
        <is>
          <t>REALITY CHECK FOR SMALL ACCOUNTS</t>
        </is>
      </c>
    </row>
    <row r="23" ht="27.75" customHeight="1" s="65">
      <c r="B23" s="70" t="inlineStr">
        <is>
          <t>Pattern Day Trader rule  —  Under $25k in a margin account, you're limited to 3 day-trades per 5 rolling business days. Cash accounts avoid PDT but funds settle T+1. Plan accordingly.</t>
        </is>
      </c>
    </row>
    <row r="24" ht="27.75" customHeight="1" s="65">
      <c r="B24" s="70" t="inlineStr">
        <is>
          <t>Cash-secured puts / covered calls  —  Require ~$100 × strike of capital (or 100 shares for CC). At $1k account size, viable underlyings are limited to sub-$10 stocks where premiums are minimal.</t>
        </is>
      </c>
    </row>
    <row r="25" ht="27.75" customHeight="1" s="65">
      <c r="B25" s="70" t="inlineStr">
        <is>
          <t>Position sizing  —  Standard guidance: never risk more than 1–5% of account on a single trade. On $1k that's $10–50 max risk per trade. The PositionSizer sheet enforces this.</t>
        </is>
      </c>
    </row>
    <row r="27" ht="42" customHeight="1" s="65">
      <c r="B27" s="70" t="inlineStr">
        <is>
          <t>SUPPORT  —  If a refresh fails, check the 'Last Run' log on Config. Most common issues: (1) API key missing/invalid, (2) rate limit hit (free tier = 5 calls/min), (3) ticker has no options listed, (4) network error.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="157" zoomScaleNormal="100" workbookViewId="0">
      <selection activeCell="A1" sqref="A1:C1"/>
    </sheetView>
  </sheetViews>
  <sheetFormatPr baseColWidth="10" defaultColWidth="8.6640625" defaultRowHeight="15"/>
  <cols>
    <col width="32" customWidth="1" style="65" min="1" max="1"/>
    <col width="40" customWidth="1" style="65" min="2" max="2"/>
    <col width="50" customWidth="1" style="65" min="3" max="3"/>
  </cols>
  <sheetData>
    <row r="1" ht="20" customHeight="1" s="65">
      <c r="A1" s="64" t="inlineStr">
        <is>
          <t>Configuration</t>
        </is>
      </c>
    </row>
    <row r="3">
      <c r="A3" s="5" t="inlineStr">
        <is>
          <t>Parameter</t>
        </is>
      </c>
      <c r="B3" s="5" t="inlineStr">
        <is>
          <t>Value</t>
        </is>
      </c>
      <c r="C3" s="5" t="inlineStr">
        <is>
          <t>Notes</t>
        </is>
      </c>
    </row>
    <row r="4" ht="26" customHeight="1" s="65">
      <c r="A4" s="6" t="inlineStr">
        <is>
          <t>Data source</t>
        </is>
      </c>
      <c r="B4" s="7" t="inlineStr">
        <is>
          <t>yfinance</t>
        </is>
      </c>
      <c r="C4" s="8" t="inlineStr">
        <is>
          <t>yfinance (free, no key) | schwab (free w/ brokerage, key in .env) | polygon (paid, key here)</t>
        </is>
      </c>
    </row>
    <row r="5">
      <c r="A5" s="6" t="inlineStr">
        <is>
          <t>Account size ($)</t>
        </is>
      </c>
      <c r="B5" s="9" t="n">
        <v>1000</v>
      </c>
      <c r="C5" s="8" t="inlineStr">
        <is>
          <t>Total capital allocated to this strategy.</t>
        </is>
      </c>
    </row>
    <row r="6">
      <c r="A6" s="6" t="inlineStr">
        <is>
          <t>Max risk per trade (%)</t>
        </is>
      </c>
      <c r="B6" s="10" t="n">
        <v>0.05</v>
      </c>
      <c r="C6" s="8" t="inlineStr">
        <is>
          <t>Stop-loss as % of account. 0.01–0.05 is typical.</t>
        </is>
      </c>
    </row>
    <row r="7">
      <c r="A7" s="6" t="inlineStr">
        <is>
          <t>Max risk per trade ($)</t>
        </is>
      </c>
      <c r="B7" s="11">
        <f>B5*B6</f>
        <v/>
      </c>
      <c r="C7" s="8" t="inlineStr">
        <is>
          <t>Auto-computed from account size × risk %.</t>
        </is>
      </c>
    </row>
    <row r="8">
      <c r="A8" s="6" t="inlineStr">
        <is>
          <t>Max concurrent positions</t>
        </is>
      </c>
      <c r="B8" s="12" t="n">
        <v>3</v>
      </c>
      <c r="C8" s="8" t="inlineStr">
        <is>
          <t>How many open trades at once. 3–5 typical for small accounts.</t>
        </is>
      </c>
    </row>
    <row r="9">
      <c r="A9" s="6" t="inlineStr">
        <is>
          <t>Default expiration target</t>
        </is>
      </c>
      <c r="B9" s="13" t="inlineStr">
        <is>
          <t>weekly</t>
        </is>
      </c>
      <c r="C9" s="8" t="inlineStr">
        <is>
          <t>weekly | 30d | 45d | quarterly — used by refresh helper.</t>
        </is>
      </c>
    </row>
    <row r="10">
      <c r="A10" s="6" t="inlineStr">
        <is>
          <t>Refresh: include S&amp;P 500?</t>
        </is>
      </c>
      <c r="B10" s="13" t="inlineStr">
        <is>
          <t>no</t>
        </is>
      </c>
      <c r="C10" s="8" t="inlineStr">
        <is>
          <t>yes/no. 'yes' uses heavy API quota; 'no' uses Watchlist only.</t>
        </is>
      </c>
    </row>
    <row r="11">
      <c r="A11" s="6" t="n"/>
      <c r="B11" s="13" t="n"/>
      <c r="C11" s="8" t="n"/>
    </row>
    <row r="12">
      <c r="A12" s="6" t="inlineStr">
        <is>
          <t>Last refresh (UTC)</t>
        </is>
      </c>
      <c r="B12" s="14" t="inlineStr">
        <is>
          <t>2026-04-30 15:24:28</t>
        </is>
      </c>
      <c r="C12" s="8" t="inlineStr">
        <is>
          <t>Auto-updated by polygon_refresh.py.</t>
        </is>
      </c>
    </row>
    <row r="13">
      <c r="A13" s="6" t="inlineStr">
        <is>
          <t>Last refresh status</t>
        </is>
      </c>
      <c r="B13" s="14" t="inlineStr">
        <is>
          <t>OK (Schwab)</t>
        </is>
      </c>
      <c r="C13" s="8" t="inlineStr">
        <is>
          <t>OK / Error message.</t>
        </is>
      </c>
    </row>
    <row r="14">
      <c r="A14" s="6" t="inlineStr">
        <is>
          <t>Tickers refreshed</t>
        </is>
      </c>
      <c r="B14" s="14" t="n">
        <v>32</v>
      </c>
      <c r="C14" s="8" t="inlineStr">
        <is>
          <t>Count of tickers updated in last run.</t>
        </is>
      </c>
    </row>
    <row r="15">
      <c r="A15" s="6" t="inlineStr">
        <is>
          <t>API calls used</t>
        </is>
      </c>
      <c r="B15" s="14" t="n">
        <v>33</v>
      </c>
      <c r="C15" s="8" t="inlineStr">
        <is>
          <t>Approximate count of Polygon API calls in last run.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:N1"/>
    </sheetView>
  </sheetViews>
  <sheetFormatPr baseColWidth="10" defaultColWidth="8.6640625" defaultRowHeight="15"/>
  <cols>
    <col width="10" customWidth="1" style="65" min="1" max="1"/>
    <col width="14" customWidth="1" style="65" min="2" max="2"/>
    <col width="12" customWidth="1" style="65" min="3" max="4"/>
    <col width="10" customWidth="1" style="65" min="5" max="5"/>
    <col width="12" customWidth="1" style="65" min="6" max="9"/>
    <col width="14" customWidth="1" style="65" min="10" max="12"/>
    <col width="12" customWidth="1" style="65" min="13" max="13"/>
    <col width="26" customWidth="1" style="65" min="14" max="14"/>
  </cols>
  <sheetData>
    <row r="1" ht="20" customHeight="1" s="65">
      <c r="A1" s="64" t="inlineStr">
        <is>
          <t>Watchlist — Live Quotes (refreshed by polygon_refresh.py)</t>
        </is>
      </c>
    </row>
    <row r="3">
      <c r="A3" s="5" t="inlineStr">
        <is>
          <t>Ticker</t>
        </is>
      </c>
      <c r="B3" s="5" t="inlineStr">
        <is>
          <t>Last</t>
        </is>
      </c>
      <c r="C3" s="5" t="inlineStr">
        <is>
          <t>Change</t>
        </is>
      </c>
      <c r="D3" s="5" t="inlineStr">
        <is>
          <t>Change %</t>
        </is>
      </c>
      <c r="E3" s="5" t="inlineStr">
        <is>
          <t>Bid</t>
        </is>
      </c>
      <c r="F3" s="5" t="inlineStr">
        <is>
          <t>Ask</t>
        </is>
      </c>
      <c r="G3" s="5" t="inlineStr">
        <is>
          <t>Day High</t>
        </is>
      </c>
      <c r="H3" s="5" t="inlineStr">
        <is>
          <t>Day Low</t>
        </is>
      </c>
      <c r="I3" s="5" t="inlineStr">
        <is>
          <t>Volume</t>
        </is>
      </c>
      <c r="J3" s="5" t="inlineStr">
        <is>
          <t>Prev Close</t>
        </is>
      </c>
      <c r="K3" s="5" t="inlineStr">
        <is>
          <t>30D HV %</t>
        </is>
      </c>
      <c r="L3" s="5" t="inlineStr">
        <is>
          <t>IV Rank %</t>
        </is>
      </c>
      <c r="M3" s="5" t="inlineStr">
        <is>
          <t>Earnings</t>
        </is>
      </c>
      <c r="N3" s="5" t="inlineStr">
        <is>
          <t>Notes</t>
        </is>
      </c>
    </row>
    <row r="4">
      <c r="A4" s="15" t="inlineStr">
        <is>
          <t>SPY</t>
        </is>
      </c>
      <c r="B4" s="16" t="n">
        <v>714.26</v>
      </c>
      <c r="C4" s="16" t="n">
        <v>2.67999999999995</v>
      </c>
      <c r="D4" s="17" t="n">
        <v>0.003766266617948719</v>
      </c>
      <c r="E4" s="16" t="n">
        <v>714.25</v>
      </c>
      <c r="F4" s="16" t="n">
        <v>714.26</v>
      </c>
      <c r="G4" s="16" t="n">
        <v>714.73</v>
      </c>
      <c r="H4" s="16" t="n">
        <v>710.4450000000001</v>
      </c>
      <c r="I4" s="18" t="n">
        <v>17305092</v>
      </c>
      <c r="J4" s="16" t="n">
        <v>711.58</v>
      </c>
      <c r="K4" s="19" t="n">
        <v>0.1537965398935384</v>
      </c>
      <c r="L4" s="19" t="n">
        <v>0.02013546375577438</v>
      </c>
      <c r="M4" s="20" t="n"/>
      <c r="N4" s="70" t="n"/>
    </row>
    <row r="5">
      <c r="A5" s="21" t="inlineStr">
        <is>
          <t>QQQ</t>
        </is>
      </c>
      <c r="B5" s="22" t="n">
        <v>663.2446</v>
      </c>
      <c r="C5" s="22" t="n">
        <v>1.674599999999941</v>
      </c>
      <c r="D5" s="23" t="n">
        <v>0.002531251417083515</v>
      </c>
      <c r="E5" s="22" t="n">
        <v>663.22</v>
      </c>
      <c r="F5" s="22" t="n">
        <v>663.24</v>
      </c>
      <c r="G5" s="22" t="n">
        <v>665.4</v>
      </c>
      <c r="H5" s="22" t="n">
        <v>657.5599999999999</v>
      </c>
      <c r="I5" s="24" t="n">
        <v>17142286</v>
      </c>
      <c r="J5" s="22" t="n">
        <v>661.5700000000001</v>
      </c>
      <c r="K5" s="25" t="n">
        <v>0.1934329173348209</v>
      </c>
      <c r="L5" s="25" t="n">
        <v>0.3386655068948633</v>
      </c>
      <c r="M5" s="26" t="n"/>
      <c r="N5" s="27" t="n"/>
    </row>
    <row r="6">
      <c r="A6" s="15" t="inlineStr">
        <is>
          <t>IWM</t>
        </is>
      </c>
      <c r="B6" s="16" t="n">
        <v>275.687</v>
      </c>
      <c r="C6" s="16" t="n">
        <v>3.607000000000028</v>
      </c>
      <c r="D6" s="17" t="n">
        <v>0.01325713025580722</v>
      </c>
      <c r="E6" s="16" t="n">
        <v>275.66</v>
      </c>
      <c r="F6" s="16" t="n">
        <v>275.69</v>
      </c>
      <c r="G6" s="16" t="n">
        <v>275.7</v>
      </c>
      <c r="H6" s="16" t="n">
        <v>272.44</v>
      </c>
      <c r="I6" s="18" t="n">
        <v>10235280</v>
      </c>
      <c r="J6" s="16" t="n">
        <v>272.08</v>
      </c>
      <c r="K6" s="19" t="n">
        <v>0.1984410778679161</v>
      </c>
      <c r="L6" s="19" t="n">
        <v>0.1702397882677744</v>
      </c>
      <c r="M6" s="20" t="n"/>
      <c r="N6" s="70" t="n"/>
    </row>
    <row r="7">
      <c r="A7" s="21" t="inlineStr">
        <is>
          <t>DIA</t>
        </is>
      </c>
      <c r="B7" s="22" t="n">
        <v>494.43</v>
      </c>
      <c r="C7" s="22" t="n">
        <v>5.759999999999991</v>
      </c>
      <c r="D7" s="23" t="n">
        <v>0.01178709558597825</v>
      </c>
      <c r="E7" s="22" t="n">
        <v>494.42</v>
      </c>
      <c r="F7" s="22" t="n">
        <v>494.45</v>
      </c>
      <c r="G7" s="22" t="n">
        <v>494.88</v>
      </c>
      <c r="H7" s="22" t="n">
        <v>490.39</v>
      </c>
      <c r="I7" s="24" t="n">
        <v>2424730</v>
      </c>
      <c r="J7" s="22" t="n">
        <v>488.67</v>
      </c>
      <c r="K7" s="25" t="n">
        <v>0.1536278974479107</v>
      </c>
      <c r="L7" s="25" t="n">
        <v>0.2915652754640054</v>
      </c>
      <c r="M7" s="26" t="n"/>
      <c r="N7" s="27" t="n"/>
    </row>
    <row r="8">
      <c r="A8" s="15" t="inlineStr">
        <is>
          <t>^VIX</t>
        </is>
      </c>
      <c r="B8" s="16" t="n">
        <v>17.82999992370605</v>
      </c>
      <c r="C8" s="16" t="n">
        <v>-0.1900005340576172</v>
      </c>
      <c r="D8" s="17" t="n">
        <v>-0.0105438695466713</v>
      </c>
      <c r="E8" s="16" t="n"/>
      <c r="F8" s="16" t="n"/>
      <c r="G8" s="16" t="n">
        <v>19.43000030517578</v>
      </c>
      <c r="H8" s="16" t="n">
        <v>17.78000068664551</v>
      </c>
      <c r="I8" s="18" t="n">
        <v>0</v>
      </c>
      <c r="J8" s="16" t="n">
        <v>18.02000045776367</v>
      </c>
      <c r="K8" s="19" t="n">
        <v>1.230252061210032</v>
      </c>
      <c r="L8" s="19" t="n">
        <v>0</v>
      </c>
      <c r="M8" s="20" t="n"/>
      <c r="N8" s="70" t="n"/>
    </row>
    <row r="9">
      <c r="A9" s="21" t="inlineStr">
        <is>
          <t>AAPL</t>
        </is>
      </c>
      <c r="B9" s="22" t="n">
        <v>271.41</v>
      </c>
      <c r="C9" s="22" t="n">
        <v>1.240000000000009</v>
      </c>
      <c r="D9" s="23" t="n">
        <v>0.004589702779731314</v>
      </c>
      <c r="E9" s="22" t="n">
        <v>271.42</v>
      </c>
      <c r="F9" s="22" t="n">
        <v>271.45</v>
      </c>
      <c r="G9" s="22" t="n">
        <v>272.22</v>
      </c>
      <c r="H9" s="22" t="n">
        <v>268.14</v>
      </c>
      <c r="I9" s="24" t="n">
        <v>13540987</v>
      </c>
      <c r="J9" s="22" t="n">
        <v>270.17</v>
      </c>
      <c r="K9" s="25" t="n">
        <v>0.2462711471125729</v>
      </c>
      <c r="L9" s="25" t="n">
        <v>0.2813192440913179</v>
      </c>
      <c r="M9" s="26" t="n"/>
      <c r="N9" s="27" t="n"/>
    </row>
    <row r="10">
      <c r="A10" s="15" t="inlineStr">
        <is>
          <t>MSFT</t>
        </is>
      </c>
      <c r="B10" s="16" t="n">
        <v>403.66</v>
      </c>
      <c r="C10" s="16" t="n">
        <v>-20.79999999999995</v>
      </c>
      <c r="D10" s="17" t="n">
        <v>-0.04900343966451481</v>
      </c>
      <c r="E10" s="16" t="n">
        <v>403.66</v>
      </c>
      <c r="F10" s="16" t="n">
        <v>403.76</v>
      </c>
      <c r="G10" s="16" t="n">
        <v>414.42</v>
      </c>
      <c r="H10" s="16" t="n">
        <v>400.13</v>
      </c>
      <c r="I10" s="18" t="n">
        <v>27038840</v>
      </c>
      <c r="J10" s="16" t="n">
        <v>424.46</v>
      </c>
      <c r="K10" s="19" t="n">
        <v>0.3010900082913495</v>
      </c>
      <c r="L10" s="19" t="n">
        <v>1</v>
      </c>
      <c r="M10" s="20" t="n"/>
      <c r="N10" s="70" t="n"/>
    </row>
    <row r="11">
      <c r="A11" s="21" t="inlineStr">
        <is>
          <t>NVDA</t>
        </is>
      </c>
      <c r="B11" s="22" t="n">
        <v>201.34</v>
      </c>
      <c r="C11" s="22" t="n">
        <v>-7.909999999999997</v>
      </c>
      <c r="D11" s="23" t="n">
        <v>-0.0378016726403823</v>
      </c>
      <c r="E11" s="22" t="n">
        <v>201.33</v>
      </c>
      <c r="F11" s="22" t="n">
        <v>201.35</v>
      </c>
      <c r="G11" s="22" t="n">
        <v>210.3</v>
      </c>
      <c r="H11" s="22" t="n">
        <v>198.7</v>
      </c>
      <c r="I11" s="24" t="n">
        <v>93170847</v>
      </c>
      <c r="J11" s="22" t="n">
        <v>209.25</v>
      </c>
      <c r="K11" s="25" t="n">
        <v>0.3232333250370479</v>
      </c>
      <c r="L11" s="25" t="n">
        <v>0.4626837534516653</v>
      </c>
      <c r="M11" s="26" t="n"/>
      <c r="N11" s="27" t="n"/>
    </row>
    <row r="12">
      <c r="A12" s="15" t="inlineStr">
        <is>
          <t>AMZN</t>
        </is>
      </c>
      <c r="B12" s="16" t="n">
        <v>258.89</v>
      </c>
      <c r="C12" s="16" t="n">
        <v>-4.150000000000034</v>
      </c>
      <c r="D12" s="17" t="n">
        <v>-0.01577706812652081</v>
      </c>
      <c r="E12" s="16" t="n">
        <v>258.86</v>
      </c>
      <c r="F12" s="16" t="n">
        <v>258.9</v>
      </c>
      <c r="G12" s="16" t="n">
        <v>273.87</v>
      </c>
      <c r="H12" s="16" t="n">
        <v>257.45</v>
      </c>
      <c r="I12" s="18" t="n">
        <v>44633293</v>
      </c>
      <c r="J12" s="16" t="n">
        <v>263.04</v>
      </c>
      <c r="K12" s="19" t="n">
        <v>0.3141199630531681</v>
      </c>
      <c r="L12" s="19" t="n">
        <v>1</v>
      </c>
      <c r="M12" s="20" t="n"/>
      <c r="N12" s="70" t="n"/>
    </row>
    <row r="13">
      <c r="A13" s="21" t="inlineStr">
        <is>
          <t>META</t>
        </is>
      </c>
      <c r="B13" s="22" t="n">
        <v>605.77</v>
      </c>
      <c r="C13" s="22" t="n">
        <v>-63.35000000000002</v>
      </c>
      <c r="D13" s="23" t="n">
        <v>-0.09467659014825446</v>
      </c>
      <c r="E13" s="22" t="n">
        <v>605.72</v>
      </c>
      <c r="F13" s="22" t="n">
        <v>605.78</v>
      </c>
      <c r="G13" s="22" t="n">
        <v>620.85</v>
      </c>
      <c r="H13" s="22" t="n">
        <v>600</v>
      </c>
      <c r="I13" s="24" t="n">
        <v>25277469</v>
      </c>
      <c r="J13" s="22" t="n">
        <v>669.12</v>
      </c>
      <c r="K13" s="25" t="n">
        <v>0.3891849011016509</v>
      </c>
      <c r="L13" s="25" t="n">
        <v>1</v>
      </c>
      <c r="M13" s="26" t="n"/>
      <c r="N13" s="27" t="n"/>
    </row>
    <row r="14">
      <c r="A14" s="15" t="inlineStr">
        <is>
          <t>GOOGL</t>
        </is>
      </c>
      <c r="B14" s="16" t="n">
        <v>376.8</v>
      </c>
      <c r="C14" s="16" t="n">
        <v>26.86000000000001</v>
      </c>
      <c r="D14" s="17" t="n">
        <v>0.07675601531691151</v>
      </c>
      <c r="E14" s="16" t="n">
        <v>376.74</v>
      </c>
      <c r="F14" s="16" t="n">
        <v>376.87</v>
      </c>
      <c r="G14" s="16" t="n">
        <v>378.23</v>
      </c>
      <c r="H14" s="16" t="n">
        <v>365.82</v>
      </c>
      <c r="I14" s="18" t="n">
        <v>31888279</v>
      </c>
      <c r="J14" s="16" t="n">
        <v>349.94</v>
      </c>
      <c r="K14" s="19" t="n">
        <v>0.2848943816072042</v>
      </c>
      <c r="L14" s="19" t="n">
        <v>1</v>
      </c>
      <c r="M14" s="20" t="n"/>
      <c r="N14" s="70" t="n"/>
    </row>
    <row r="15">
      <c r="A15" s="21" t="inlineStr">
        <is>
          <t>TSLA</t>
        </is>
      </c>
      <c r="B15" s="22" t="n">
        <v>377.32</v>
      </c>
      <c r="C15" s="22" t="n">
        <v>4.519999999999982</v>
      </c>
      <c r="D15" s="23" t="n">
        <v>0.01212446351931326</v>
      </c>
      <c r="E15" s="22" t="n">
        <v>377.3</v>
      </c>
      <c r="F15" s="22" t="n">
        <v>377.37</v>
      </c>
      <c r="G15" s="22" t="n">
        <v>378.17</v>
      </c>
      <c r="H15" s="22" t="n">
        <v>368.17</v>
      </c>
      <c r="I15" s="24" t="n">
        <v>19808156</v>
      </c>
      <c r="J15" s="22" t="n">
        <v>372.8</v>
      </c>
      <c r="K15" s="25" t="n">
        <v>0.4397128110609755</v>
      </c>
      <c r="L15" s="25" t="n">
        <v>0.1017662751094906</v>
      </c>
      <c r="M15" s="26" t="n"/>
      <c r="N15" s="27" t="n"/>
    </row>
    <row r="16">
      <c r="A16" s="15" t="inlineStr">
        <is>
          <t>AMD</t>
        </is>
      </c>
      <c r="B16" s="16" t="n">
        <v>347.82</v>
      </c>
      <c r="C16" s="16" t="n">
        <v>10.70999999999998</v>
      </c>
      <c r="D16" s="17" t="n">
        <v>0.03177004538577906</v>
      </c>
      <c r="E16" s="16" t="n">
        <v>347.78</v>
      </c>
      <c r="F16" s="16" t="n">
        <v>347.99</v>
      </c>
      <c r="G16" s="16" t="n">
        <v>349.1</v>
      </c>
      <c r="H16" s="16" t="n">
        <v>332.6</v>
      </c>
      <c r="I16" s="18" t="n">
        <v>19757007</v>
      </c>
      <c r="J16" s="16" t="n">
        <v>337.11</v>
      </c>
      <c r="K16" s="19" t="n">
        <v>0.5858664798602865</v>
      </c>
      <c r="L16" s="19" t="n">
        <v>0.3051942538094446</v>
      </c>
      <c r="M16" s="20" t="n"/>
      <c r="N16" s="70" t="n"/>
    </row>
    <row r="17">
      <c r="A17" s="21" t="inlineStr">
        <is>
          <t>AVGO</t>
        </is>
      </c>
      <c r="B17" s="22" t="n">
        <v>412.655</v>
      </c>
      <c r="C17" s="22" t="n">
        <v>7.204999999999984</v>
      </c>
      <c r="D17" s="23" t="n">
        <v>0.01777037859168821</v>
      </c>
      <c r="E17" s="22" t="n">
        <v>412.55</v>
      </c>
      <c r="F17" s="22" t="n">
        <v>412.86</v>
      </c>
      <c r="G17" s="22" t="n">
        <v>418.38</v>
      </c>
      <c r="H17" s="22" t="n">
        <v>404.2301</v>
      </c>
      <c r="I17" s="24" t="n">
        <v>7287287</v>
      </c>
      <c r="J17" s="22" t="n">
        <v>405.45</v>
      </c>
      <c r="K17" s="25" t="n">
        <v>0.4357025538312649</v>
      </c>
      <c r="L17" s="25" t="n">
        <v>0.3008401150538598</v>
      </c>
      <c r="M17" s="26" t="n"/>
      <c r="N17" s="27" t="n"/>
    </row>
    <row r="18">
      <c r="A18" s="15" t="inlineStr">
        <is>
          <t>NFLX</t>
        </is>
      </c>
      <c r="B18" s="16" t="n">
        <v>93.23999999999999</v>
      </c>
      <c r="C18" s="16" t="n">
        <v>1.11999999999999</v>
      </c>
      <c r="D18" s="17" t="n">
        <v>0.01215805471124609</v>
      </c>
      <c r="E18" s="16" t="n">
        <v>93.23999999999999</v>
      </c>
      <c r="F18" s="16" t="n">
        <v>93.25</v>
      </c>
      <c r="G18" s="16" t="n">
        <v>93.26000000000001</v>
      </c>
      <c r="H18" s="16" t="n">
        <v>90.77</v>
      </c>
      <c r="I18" s="18" t="n">
        <v>13621237</v>
      </c>
      <c r="J18" s="16" t="n">
        <v>92.12</v>
      </c>
      <c r="K18" s="19" t="n">
        <v>0.4204913467243034</v>
      </c>
      <c r="L18" s="19" t="n">
        <v>0</v>
      </c>
      <c r="M18" s="20" t="n"/>
      <c r="N18" s="70" t="n"/>
    </row>
    <row r="19">
      <c r="A19" s="21" t="inlineStr">
        <is>
          <t>CRM</t>
        </is>
      </c>
      <c r="B19" s="22" t="n">
        <v>177.88</v>
      </c>
      <c r="C19" s="22" t="n">
        <v>-3.340000000000003</v>
      </c>
      <c r="D19" s="23" t="n">
        <v>-0.01843063679505575</v>
      </c>
      <c r="E19" s="22" t="n">
        <v>177.84</v>
      </c>
      <c r="F19" s="22" t="n">
        <v>177.92</v>
      </c>
      <c r="G19" s="22" t="n">
        <v>178.6934</v>
      </c>
      <c r="H19" s="22" t="n">
        <v>173</v>
      </c>
      <c r="I19" s="24" t="n">
        <v>5383950</v>
      </c>
      <c r="J19" s="22" t="n">
        <v>181.22</v>
      </c>
      <c r="K19" s="25" t="n">
        <v>0.4684358834914082</v>
      </c>
      <c r="L19" s="25" t="n">
        <v>0.3264869818586659</v>
      </c>
      <c r="M19" s="26" t="n"/>
      <c r="N19" s="27" t="n"/>
    </row>
    <row r="20">
      <c r="A20" s="15" t="inlineStr">
        <is>
          <t>ORCL</t>
        </is>
      </c>
      <c r="B20" s="16" t="n">
        <v>162.22</v>
      </c>
      <c r="C20" s="16" t="n">
        <v>-1.610000000000014</v>
      </c>
      <c r="D20" s="17" t="n">
        <v>-0.009827259964597532</v>
      </c>
      <c r="E20" s="16" t="n">
        <v>162.2</v>
      </c>
      <c r="F20" s="16" t="n">
        <v>162.24</v>
      </c>
      <c r="G20" s="16" t="n">
        <v>165.18</v>
      </c>
      <c r="H20" s="16" t="n">
        <v>160.33</v>
      </c>
      <c r="I20" s="18" t="n">
        <v>7659482</v>
      </c>
      <c r="J20" s="16" t="n">
        <v>163.83</v>
      </c>
      <c r="K20" s="19" t="n">
        <v>0.6099438072897825</v>
      </c>
      <c r="L20" s="19" t="n">
        <v>0.167894099994097</v>
      </c>
      <c r="M20" s="20" t="n"/>
      <c r="N20" s="70" t="n"/>
    </row>
    <row r="21">
      <c r="A21" s="21" t="inlineStr">
        <is>
          <t>ADBE</t>
        </is>
      </c>
      <c r="B21" s="22" t="n">
        <v>243.14</v>
      </c>
      <c r="C21" s="22" t="n">
        <v>-0.4300000000000068</v>
      </c>
      <c r="D21" s="23" t="n">
        <v>-0.001765406248717029</v>
      </c>
      <c r="E21" s="22" t="n">
        <v>243.11</v>
      </c>
      <c r="F21" s="22" t="n">
        <v>243.25</v>
      </c>
      <c r="G21" s="22" t="n">
        <v>243.57</v>
      </c>
      <c r="H21" s="22" t="n">
        <v>236.315</v>
      </c>
      <c r="I21" s="24" t="n">
        <v>1260925</v>
      </c>
      <c r="J21" s="22" t="n">
        <v>243.57</v>
      </c>
      <c r="K21" s="25" t="n">
        <v>0.4425182353093292</v>
      </c>
      <c r="L21" s="25" t="n">
        <v>0.2502485073136241</v>
      </c>
      <c r="M21" s="26" t="n"/>
      <c r="N21" s="27" t="n"/>
    </row>
    <row r="22">
      <c r="A22" s="15" t="inlineStr">
        <is>
          <t>JPM</t>
        </is>
      </c>
      <c r="B22" s="16" t="n">
        <v>312.69</v>
      </c>
      <c r="C22" s="16" t="n">
        <v>3.439999999999998</v>
      </c>
      <c r="D22" s="17" t="n">
        <v>0.0111236863379143</v>
      </c>
      <c r="E22" s="16" t="n">
        <v>312.68</v>
      </c>
      <c r="F22" s="16" t="n">
        <v>312.79</v>
      </c>
      <c r="G22" s="16" t="n">
        <v>313.93</v>
      </c>
      <c r="H22" s="16" t="n">
        <v>306.57</v>
      </c>
      <c r="I22" s="18" t="n">
        <v>1962505</v>
      </c>
      <c r="J22" s="16" t="n">
        <v>309.25</v>
      </c>
      <c r="K22" s="19" t="n">
        <v>0.2351797687904106</v>
      </c>
      <c r="L22" s="19" t="n">
        <v>0.2959042046167759</v>
      </c>
      <c r="M22" s="20" t="n"/>
      <c r="N22" s="70" t="n"/>
    </row>
    <row r="23">
      <c r="A23" s="21" t="inlineStr">
        <is>
          <t>BAC</t>
        </is>
      </c>
      <c r="B23" s="22" t="n">
        <v>53.43</v>
      </c>
      <c r="C23" s="22" t="n">
        <v>0.5499999999999972</v>
      </c>
      <c r="D23" s="23" t="n">
        <v>0.0104009077155824</v>
      </c>
      <c r="E23" s="22" t="n">
        <v>53.42</v>
      </c>
      <c r="F23" s="22" t="n">
        <v>53.43</v>
      </c>
      <c r="G23" s="22" t="n">
        <v>53.49</v>
      </c>
      <c r="H23" s="22" t="n">
        <v>52.15</v>
      </c>
      <c r="I23" s="24" t="n">
        <v>6875332</v>
      </c>
      <c r="J23" s="22" t="n">
        <v>52.88</v>
      </c>
      <c r="K23" s="25" t="n">
        <v>0.2161894898318051</v>
      </c>
      <c r="L23" s="25" t="n">
        <v>0.3653756998649478</v>
      </c>
      <c r="M23" s="26" t="n"/>
      <c r="N23" s="27" t="n"/>
    </row>
    <row r="24">
      <c r="A24" s="15" t="inlineStr">
        <is>
          <t>GS</t>
        </is>
      </c>
      <c r="B24" s="16" t="n">
        <v>921.1</v>
      </c>
      <c r="C24" s="16" t="n">
        <v>15.5</v>
      </c>
      <c r="D24" s="17" t="n">
        <v>0.01711572438162544</v>
      </c>
      <c r="E24" s="16" t="n">
        <v>920.9299999999999</v>
      </c>
      <c r="F24" s="16" t="n">
        <v>921.5</v>
      </c>
      <c r="G24" s="16" t="n">
        <v>921.7</v>
      </c>
      <c r="H24" s="16" t="n">
        <v>905</v>
      </c>
      <c r="I24" s="18" t="n">
        <v>453034</v>
      </c>
      <c r="J24" s="16" t="n">
        <v>905.6</v>
      </c>
      <c r="K24" s="19" t="n">
        <v>0.2983374600614508</v>
      </c>
      <c r="L24" s="19" t="n">
        <v>0.2643460388821702</v>
      </c>
      <c r="M24" s="20" t="n"/>
      <c r="N24" s="70" t="n"/>
    </row>
    <row r="25">
      <c r="A25" s="21" t="inlineStr">
        <is>
          <t>MS</t>
        </is>
      </c>
      <c r="B25" s="22" t="n">
        <v>189</v>
      </c>
      <c r="C25" s="22" t="n">
        <v>2.919999999999987</v>
      </c>
      <c r="D25" s="23" t="n">
        <v>0.01569217540842641</v>
      </c>
      <c r="E25" s="22" t="n">
        <v>188.97</v>
      </c>
      <c r="F25" s="22" t="n">
        <v>189.06</v>
      </c>
      <c r="G25" s="22" t="n">
        <v>189.2599</v>
      </c>
      <c r="H25" s="22" t="n">
        <v>184.9</v>
      </c>
      <c r="I25" s="24" t="n">
        <v>1157284</v>
      </c>
      <c r="J25" s="22" t="n">
        <v>186.08</v>
      </c>
      <c r="K25" s="25" t="n">
        <v>0.2923755484435588</v>
      </c>
      <c r="L25" s="25" t="n">
        <v>0</v>
      </c>
      <c r="M25" s="26" t="n"/>
      <c r="N25" s="27" t="n"/>
    </row>
    <row r="26">
      <c r="A26" s="15" t="inlineStr">
        <is>
          <t>XLF</t>
        </is>
      </c>
      <c r="B26" s="16" t="n">
        <v>52.05</v>
      </c>
      <c r="C26" s="16" t="n">
        <v>0.1299999999999955</v>
      </c>
      <c r="D26" s="17" t="n">
        <v>0.002503852080123179</v>
      </c>
      <c r="E26" s="16" t="n">
        <v>52.05</v>
      </c>
      <c r="F26" s="16" t="n">
        <v>52.06</v>
      </c>
      <c r="G26" s="16" t="n">
        <v>52.155</v>
      </c>
      <c r="H26" s="16" t="n">
        <v>51.2</v>
      </c>
      <c r="I26" s="18" t="n">
        <v>13517151</v>
      </c>
      <c r="J26" s="16" t="n">
        <v>51.92</v>
      </c>
      <c r="K26" s="19" t="n">
        <v>0.1687638742519064</v>
      </c>
      <c r="L26" s="19" t="n">
        <v>0.8709874540772511</v>
      </c>
      <c r="M26" s="20" t="n"/>
      <c r="N26" s="70" t="n"/>
    </row>
    <row r="27">
      <c r="A27" s="21" t="inlineStr">
        <is>
          <t>XLE</t>
        </is>
      </c>
      <c r="B27" s="22" t="n">
        <v>59.495</v>
      </c>
      <c r="C27" s="22" t="n">
        <v>0.4649999999999963</v>
      </c>
      <c r="D27" s="23" t="n">
        <v>0.00787735049974583</v>
      </c>
      <c r="E27" s="22" t="n">
        <v>59.49</v>
      </c>
      <c r="F27" s="22" t="n">
        <v>59.5</v>
      </c>
      <c r="G27" s="22" t="n">
        <v>59.51</v>
      </c>
      <c r="H27" s="22" t="n">
        <v>57.935</v>
      </c>
      <c r="I27" s="24" t="n">
        <v>14734431</v>
      </c>
      <c r="J27" s="22" t="n">
        <v>59.03</v>
      </c>
      <c r="K27" s="25" t="n">
        <v>0.2591930979956705</v>
      </c>
      <c r="L27" s="25" t="n">
        <v>0.7559794434351207</v>
      </c>
      <c r="M27" s="26" t="n"/>
      <c r="N27" s="27" t="n"/>
    </row>
    <row r="28">
      <c r="A28" s="15" t="inlineStr">
        <is>
          <t>XLK</t>
        </is>
      </c>
      <c r="B28" s="16" t="n">
        <v>158.57</v>
      </c>
      <c r="C28" s="16" t="n">
        <v>-0.5400000000000205</v>
      </c>
      <c r="D28" s="17" t="n">
        <v>-0.003393878448871978</v>
      </c>
      <c r="E28" s="16" t="n">
        <v>158.57</v>
      </c>
      <c r="F28" s="16" t="n">
        <v>158.58</v>
      </c>
      <c r="G28" s="16" t="n">
        <v>159.65</v>
      </c>
      <c r="H28" s="16" t="n">
        <v>156.88</v>
      </c>
      <c r="I28" s="18" t="n">
        <v>3507736</v>
      </c>
      <c r="J28" s="16" t="n">
        <v>159.11</v>
      </c>
      <c r="K28" s="19" t="n">
        <v>0.2433787165122818</v>
      </c>
      <c r="L28" s="19" t="n">
        <v>0.7495066711290107</v>
      </c>
      <c r="M28" s="20" t="n"/>
      <c r="N28" s="70" t="n"/>
    </row>
    <row r="29">
      <c r="A29" s="21" t="inlineStr">
        <is>
          <t>GLD</t>
        </is>
      </c>
      <c r="B29" s="22" t="n">
        <v>424.13</v>
      </c>
      <c r="C29" s="22" t="n">
        <v>6.71999999999997</v>
      </c>
      <c r="D29" s="23" t="n">
        <v>0.01609927888646647</v>
      </c>
      <c r="E29" s="22" t="n">
        <v>424.08</v>
      </c>
      <c r="F29" s="22" t="n">
        <v>424.14</v>
      </c>
      <c r="G29" s="22" t="n">
        <v>425.46</v>
      </c>
      <c r="H29" s="22" t="n">
        <v>423.13</v>
      </c>
      <c r="I29" s="24" t="n">
        <v>2823656</v>
      </c>
      <c r="J29" s="22" t="n">
        <v>417.41</v>
      </c>
      <c r="K29" s="25" t="n">
        <v>0.2542716734670682</v>
      </c>
      <c r="L29" s="25" t="n">
        <v>0</v>
      </c>
      <c r="M29" s="26" t="n"/>
      <c r="N29" s="27" t="n"/>
    </row>
    <row r="30">
      <c r="A30" s="15" t="inlineStr">
        <is>
          <t>TLT</t>
        </is>
      </c>
      <c r="B30" s="16" t="n">
        <v>85.825</v>
      </c>
      <c r="C30" s="16" t="n">
        <v>0.125</v>
      </c>
      <c r="D30" s="17" t="n">
        <v>0.001458576429404901</v>
      </c>
      <c r="E30" s="16" t="n">
        <v>85.81999999999999</v>
      </c>
      <c r="F30" s="16" t="n">
        <v>85.83</v>
      </c>
      <c r="G30" s="16" t="n">
        <v>85.90000000000001</v>
      </c>
      <c r="H30" s="16" t="n">
        <v>85.66500000000001</v>
      </c>
      <c r="I30" s="18" t="n">
        <v>6443009</v>
      </c>
      <c r="J30" s="16" t="n">
        <v>85.7</v>
      </c>
      <c r="K30" s="19" t="n">
        <v>0.08115614342704791</v>
      </c>
      <c r="L30" s="19" t="n">
        <v>0.2611851617391196</v>
      </c>
      <c r="M30" s="20" t="n"/>
      <c r="N30" s="70" t="n"/>
    </row>
    <row r="31">
      <c r="A31" s="21" t="inlineStr">
        <is>
          <t>USO</t>
        </is>
      </c>
      <c r="B31" s="22" t="n">
        <v>145.8801</v>
      </c>
      <c r="C31" s="22" t="n">
        <v>-4.749899999999997</v>
      </c>
      <c r="D31" s="23" t="n">
        <v>-0.03153355905198166</v>
      </c>
      <c r="E31" s="22" t="n">
        <v>145.88</v>
      </c>
      <c r="F31" s="22" t="n">
        <v>145.93</v>
      </c>
      <c r="G31" s="22" t="n">
        <v>149.06</v>
      </c>
      <c r="H31" s="22" t="n">
        <v>145.81</v>
      </c>
      <c r="I31" s="24" t="n">
        <v>6227840</v>
      </c>
      <c r="J31" s="22" t="n">
        <v>150.63</v>
      </c>
      <c r="K31" s="25" t="n">
        <v>0.7403500727396793</v>
      </c>
      <c r="L31" s="25" t="n">
        <v>0</v>
      </c>
      <c r="M31" s="26" t="n"/>
      <c r="N31" s="27" t="n"/>
    </row>
    <row r="32">
      <c r="A32" s="15" t="inlineStr">
        <is>
          <t>F</t>
        </is>
      </c>
      <c r="B32" s="16" t="n">
        <v>11.865</v>
      </c>
      <c r="C32" s="16" t="n">
        <v>-0.375</v>
      </c>
      <c r="D32" s="17" t="n">
        <v>-0.03063725490196078</v>
      </c>
      <c r="E32" s="16" t="n">
        <v>11.86</v>
      </c>
      <c r="F32" s="16" t="n">
        <v>11.87</v>
      </c>
      <c r="G32" s="16" t="n">
        <v>11.9599</v>
      </c>
      <c r="H32" s="16" t="n">
        <v>11.47</v>
      </c>
      <c r="I32" s="18" t="n">
        <v>37760229</v>
      </c>
      <c r="J32" s="16" t="n">
        <v>12.24</v>
      </c>
      <c r="K32" s="19" t="n">
        <v>0.3149908888821576</v>
      </c>
      <c r="L32" s="19" t="n">
        <v>1</v>
      </c>
      <c r="M32" s="20" t="n"/>
      <c r="N32" s="70" t="n"/>
    </row>
    <row r="33">
      <c r="A33" s="21" t="inlineStr">
        <is>
          <t>SOFI</t>
        </is>
      </c>
      <c r="B33" s="22" t="n">
        <v>16.3699</v>
      </c>
      <c r="C33" s="22" t="n">
        <v>0.8449000000000009</v>
      </c>
      <c r="D33" s="23" t="n">
        <v>0.05442190016103065</v>
      </c>
      <c r="E33" s="22" t="n">
        <v>16.36</v>
      </c>
      <c r="F33" s="22" t="n">
        <v>16.37</v>
      </c>
      <c r="G33" s="22" t="n">
        <v>16.3699</v>
      </c>
      <c r="H33" s="22" t="n">
        <v>15.54</v>
      </c>
      <c r="I33" s="24" t="n">
        <v>38594086</v>
      </c>
      <c r="J33" s="22" t="n">
        <v>15.525</v>
      </c>
      <c r="K33" s="25" t="n">
        <v>0.7065992736172338</v>
      </c>
      <c r="L33" s="25" t="n">
        <v>1</v>
      </c>
      <c r="M33" s="26" t="n"/>
      <c r="N33" s="27" t="n"/>
    </row>
    <row r="34">
      <c r="A34" s="15" t="inlineStr">
        <is>
          <t>PLTR</t>
        </is>
      </c>
      <c r="B34" s="16" t="n">
        <v>139.74</v>
      </c>
      <c r="C34" s="16" t="n">
        <v>1.77000000000001</v>
      </c>
      <c r="D34" s="17" t="n">
        <v>0.01282887584257455</v>
      </c>
      <c r="E34" s="16" t="n">
        <v>139.73</v>
      </c>
      <c r="F34" s="16" t="n">
        <v>139.74</v>
      </c>
      <c r="G34" s="16" t="n">
        <v>140.2</v>
      </c>
      <c r="H34" s="16" t="n">
        <v>136.65</v>
      </c>
      <c r="I34" s="18" t="n">
        <v>12524069</v>
      </c>
      <c r="J34" s="16" t="n">
        <v>137.97</v>
      </c>
      <c r="K34" s="19" t="n">
        <v>0.5702091802272842</v>
      </c>
      <c r="L34" s="19" t="n">
        <v>0.07882123916748554</v>
      </c>
      <c r="M34" s="20" t="n"/>
      <c r="N34" s="70" t="n"/>
    </row>
    <row r="35">
      <c r="A35" s="21" t="inlineStr">
        <is>
          <t>NIO</t>
        </is>
      </c>
      <c r="B35" s="22" t="n">
        <v>6.295</v>
      </c>
      <c r="C35" s="22" t="n">
        <v>-0.09499999999999975</v>
      </c>
      <c r="D35" s="23" t="n">
        <v>-0.01486697965571201</v>
      </c>
      <c r="E35" s="22" t="n">
        <v>6.29</v>
      </c>
      <c r="F35" s="22" t="n">
        <v>6.3</v>
      </c>
      <c r="G35" s="22" t="n">
        <v>6.3099</v>
      </c>
      <c r="H35" s="22" t="n">
        <v>6.13</v>
      </c>
      <c r="I35" s="24" t="n">
        <v>13587854</v>
      </c>
      <c r="J35" s="22" t="n">
        <v>6.39</v>
      </c>
      <c r="K35" s="25" t="n">
        <v>0.5689316207186818</v>
      </c>
      <c r="L35" s="25" t="n">
        <v>0.2291133713354159</v>
      </c>
      <c r="M35" s="26" t="n"/>
      <c r="N35" s="27" t="n"/>
    </row>
  </sheetData>
  <mergeCells count="1">
    <mergeCell ref="A1:N1"/>
  </mergeCells>
  <conditionalFormatting sqref="D4:D35">
    <cfRule type="cellIs" priority="2" operator="greaterThan" dxfId="1">
      <formula>0</formula>
    </cfRule>
    <cfRule type="cellIs" priority="3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"/>
  <sheetViews>
    <sheetView tabSelected="1" zoomScaleNormal="100" workbookViewId="0">
      <pane ySplit="5" topLeftCell="A6" activePane="bottomLeft" state="frozen"/>
      <selection pane="bottomLeft" activeCell="B3" sqref="B3"/>
    </sheetView>
  </sheetViews>
  <sheetFormatPr baseColWidth="10" defaultColWidth="8.6640625" defaultRowHeight="15"/>
  <cols>
    <col width="12" customWidth="1" style="65" min="1" max="13"/>
  </cols>
  <sheetData>
    <row r="1" ht="20" customHeight="1" s="65">
      <c r="A1" s="64" t="inlineStr">
        <is>
          <t>Options Chain Viewer</t>
        </is>
      </c>
    </row>
    <row r="3">
      <c r="A3" s="28" t="inlineStr">
        <is>
          <t>Ticker</t>
        </is>
      </c>
      <c r="B3" s="29" t="inlineStr">
        <is>
          <t>AMZN</t>
        </is>
      </c>
      <c r="C3" s="28" t="inlineStr">
        <is>
          <t>Expiration (YYYY-MM-DD)</t>
        </is>
      </c>
      <c r="D3" s="29" t="inlineStr">
        <is>
          <t>2026-04-29</t>
        </is>
      </c>
      <c r="E3" s="28" t="inlineStr">
        <is>
          <t>Underlying $</t>
        </is>
      </c>
      <c r="F3" s="30" t="n">
        <v>259.7000122070312</v>
      </c>
      <c r="G3" s="28" t="inlineStr">
        <is>
          <t>Last refresh</t>
        </is>
      </c>
      <c r="H3" s="31" t="inlineStr">
        <is>
          <t>2026-04-29 04:10 UTC</t>
        </is>
      </c>
    </row>
    <row r="5">
      <c r="A5" s="32" t="inlineStr">
        <is>
          <t>Call Last</t>
        </is>
      </c>
      <c r="B5" s="32" t="inlineStr">
        <is>
          <t>Call Bid</t>
        </is>
      </c>
      <c r="C5" s="32" t="inlineStr">
        <is>
          <t>Call Ask</t>
        </is>
      </c>
      <c r="D5" s="32" t="inlineStr">
        <is>
          <t>Call Vol</t>
        </is>
      </c>
      <c r="E5" s="32" t="inlineStr">
        <is>
          <t>Call OI</t>
        </is>
      </c>
      <c r="F5" s="32" t="inlineStr">
        <is>
          <t>Call IV</t>
        </is>
      </c>
      <c r="G5" s="33" t="inlineStr">
        <is>
          <t>Strike</t>
        </is>
      </c>
      <c r="H5" s="34" t="inlineStr">
        <is>
          <t>Put Last</t>
        </is>
      </c>
      <c r="I5" s="34" t="inlineStr">
        <is>
          <t>Put Bid</t>
        </is>
      </c>
      <c r="J5" s="34" t="inlineStr">
        <is>
          <t>Put Ask</t>
        </is>
      </c>
      <c r="K5" s="34" t="inlineStr">
        <is>
          <t>Put Vol</t>
        </is>
      </c>
      <c r="L5" s="34" t="inlineStr">
        <is>
          <t>Put OI</t>
        </is>
      </c>
      <c r="M5" s="34" t="inlineStr">
        <is>
          <t>Put IV</t>
        </is>
      </c>
    </row>
    <row r="6">
      <c r="A6" s="35" t="n">
        <v>72.18000000000001</v>
      </c>
      <c r="B6" s="35" t="n">
        <v>82.5</v>
      </c>
      <c r="C6" s="35" t="n">
        <v>86.90000000000001</v>
      </c>
      <c r="D6" s="36" t="n">
        <v>1</v>
      </c>
      <c r="E6" s="36" t="n">
        <v>2</v>
      </c>
      <c r="F6" s="37" t="n">
        <v>0.500005</v>
      </c>
      <c r="G6" s="38" t="n">
        <v>175</v>
      </c>
      <c r="H6" s="35" t="n">
        <v>0.03</v>
      </c>
      <c r="I6" s="35" t="n">
        <v>0.01</v>
      </c>
      <c r="J6" s="35" t="n">
        <v>0.02</v>
      </c>
      <c r="K6" s="36" t="n">
        <v>2130</v>
      </c>
      <c r="L6" s="36" t="n">
        <v>593</v>
      </c>
      <c r="M6" s="37" t="n">
        <v>0.32813171875</v>
      </c>
    </row>
    <row r="7">
      <c r="A7" s="35" t="n">
        <v>55.82</v>
      </c>
      <c r="B7" s="35" t="n">
        <v>57.65</v>
      </c>
      <c r="C7" s="35" t="n">
        <v>61.5</v>
      </c>
      <c r="D7" s="36" t="n">
        <v>2</v>
      </c>
      <c r="E7" s="36" t="n">
        <v>20</v>
      </c>
      <c r="F7" s="37" t="n">
        <v>3.698242941894532</v>
      </c>
      <c r="G7" s="38" t="n">
        <v>200</v>
      </c>
      <c r="H7" s="35" t="n">
        <v>0.21</v>
      </c>
      <c r="I7" s="35" t="n">
        <v>0</v>
      </c>
      <c r="J7" s="35" t="n">
        <v>2.14</v>
      </c>
      <c r="K7" s="36" t="n">
        <v>999</v>
      </c>
      <c r="L7" s="36" t="n">
        <v>31</v>
      </c>
      <c r="M7" s="37" t="n">
        <v>3.267579956054687</v>
      </c>
    </row>
    <row r="8">
      <c r="A8" s="35" t="n">
        <v>27.42</v>
      </c>
      <c r="B8" s="35" t="n">
        <v>27.57</v>
      </c>
      <c r="C8" s="35" t="n">
        <v>30.39</v>
      </c>
      <c r="D8" s="36" t="n">
        <v>6</v>
      </c>
      <c r="E8" s="36" t="n">
        <v>61</v>
      </c>
      <c r="F8" s="37" t="n">
        <v>0.7033721069335939</v>
      </c>
      <c r="G8" s="38" t="n">
        <v>205</v>
      </c>
      <c r="H8" s="35" t="n">
        <v>0.11</v>
      </c>
      <c r="I8" s="35" t="n">
        <v>0</v>
      </c>
      <c r="J8" s="35" t="n">
        <v>2.15</v>
      </c>
      <c r="K8" s="36" t="n">
        <v>2638</v>
      </c>
      <c r="L8" s="36" t="n">
        <v>3</v>
      </c>
      <c r="M8" s="37" t="n">
        <v>3.019533701171875</v>
      </c>
    </row>
    <row r="9">
      <c r="A9" s="35" t="n">
        <v>38.75</v>
      </c>
      <c r="B9" s="35" t="n">
        <v>47.65</v>
      </c>
      <c r="C9" s="35" t="n">
        <v>51.55</v>
      </c>
      <c r="D9" s="36" t="n">
        <v>5</v>
      </c>
      <c r="E9" s="36" t="n">
        <v>1</v>
      </c>
      <c r="F9" s="37" t="n">
        <v>3.176759870605468</v>
      </c>
      <c r="G9" s="38" t="n">
        <v>210</v>
      </c>
      <c r="H9" s="35" t="n">
        <v>0.27</v>
      </c>
      <c r="I9" s="35" t="n">
        <v>0</v>
      </c>
      <c r="J9" s="35" t="n">
        <v>2.16</v>
      </c>
      <c r="K9" s="36" t="n">
        <v>1034</v>
      </c>
      <c r="L9" s="36" t="n">
        <v>3</v>
      </c>
      <c r="M9" s="37" t="n">
        <v>2.775393686523437</v>
      </c>
    </row>
    <row r="10">
      <c r="A10" s="35" t="n">
        <v>36.93</v>
      </c>
      <c r="B10" s="35" t="n">
        <v>43.05</v>
      </c>
      <c r="C10" s="35" t="n">
        <v>46.55</v>
      </c>
      <c r="D10" s="36" t="n">
        <v>15</v>
      </c>
      <c r="E10" s="36" t="n">
        <v>92</v>
      </c>
      <c r="F10" s="37" t="n">
        <v>1.640626796875</v>
      </c>
      <c r="G10" s="38" t="n">
        <v>215</v>
      </c>
      <c r="H10" s="35" t="n">
        <v>0.65</v>
      </c>
      <c r="I10" s="35" t="n">
        <v>0</v>
      </c>
      <c r="J10" s="35" t="n">
        <v>2.17</v>
      </c>
      <c r="K10" s="36" t="n">
        <v>2025</v>
      </c>
      <c r="L10" s="36" t="n">
        <v>3</v>
      </c>
      <c r="M10" s="37" t="n">
        <v>2.532230231933593</v>
      </c>
    </row>
    <row r="11">
      <c r="A11" s="35" t="n">
        <v>39.63</v>
      </c>
      <c r="B11" s="35" t="n">
        <v>37.7</v>
      </c>
      <c r="C11" s="35" t="n">
        <v>41.55</v>
      </c>
      <c r="D11" s="36" t="n">
        <v>10</v>
      </c>
      <c r="E11" s="36" t="n">
        <v>61</v>
      </c>
      <c r="F11" s="37" t="n">
        <v>2.6406283984375</v>
      </c>
      <c r="G11" s="38" t="n">
        <v>220</v>
      </c>
      <c r="H11" s="35" t="n">
        <v>1.01</v>
      </c>
      <c r="I11" s="35" t="n">
        <v>0</v>
      </c>
      <c r="J11" s="35" t="n">
        <v>0.49</v>
      </c>
      <c r="K11" s="36" t="n">
        <v>2443</v>
      </c>
      <c r="L11" s="36" t="n">
        <v>17</v>
      </c>
      <c r="M11" s="37" t="n">
        <v>1.685548447265625</v>
      </c>
    </row>
    <row r="12">
      <c r="A12" s="35" t="n">
        <v>35.11</v>
      </c>
      <c r="B12" s="35" t="n">
        <v>32.75</v>
      </c>
      <c r="C12" s="35" t="n">
        <v>36.55</v>
      </c>
      <c r="D12" s="36" t="n">
        <v>9</v>
      </c>
      <c r="E12" s="36" t="n">
        <v>41</v>
      </c>
      <c r="F12" s="37" t="n">
        <v>2.3750040625</v>
      </c>
      <c r="G12" s="38" t="n">
        <v>225</v>
      </c>
      <c r="H12" s="35" t="n">
        <v>0.26</v>
      </c>
      <c r="I12" s="35" t="n">
        <v>0</v>
      </c>
      <c r="J12" s="35" t="n">
        <v>0.5</v>
      </c>
      <c r="K12" s="36" t="n">
        <v>2</v>
      </c>
      <c r="L12" s="36" t="n">
        <v>36</v>
      </c>
      <c r="M12" s="37" t="n">
        <v>1.49609626953125</v>
      </c>
    </row>
    <row r="13">
      <c r="A13" s="35" t="n">
        <v>29.31</v>
      </c>
      <c r="B13" s="35" t="n">
        <v>27.75</v>
      </c>
      <c r="C13" s="35" t="n">
        <v>31.6</v>
      </c>
      <c r="D13" s="36" t="n">
        <v>1</v>
      </c>
      <c r="E13" s="36" t="n">
        <v>14</v>
      </c>
      <c r="F13" s="37" t="n">
        <v>2.126957807617187</v>
      </c>
      <c r="G13" s="38" t="n">
        <v>230</v>
      </c>
      <c r="H13" s="35" t="n">
        <v>0.36</v>
      </c>
      <c r="I13" s="35" t="n">
        <v>0</v>
      </c>
      <c r="J13" s="35" t="n">
        <v>1</v>
      </c>
      <c r="K13" s="36" t="n">
        <v>2</v>
      </c>
      <c r="L13" s="36" t="n">
        <v>325</v>
      </c>
      <c r="M13" s="37" t="n">
        <v>1.497072827148437</v>
      </c>
    </row>
    <row r="14">
      <c r="A14" s="35" t="n">
        <v>24.38</v>
      </c>
      <c r="B14" s="35" t="n">
        <v>22.8</v>
      </c>
      <c r="C14" s="35" t="n">
        <v>26.65</v>
      </c>
      <c r="D14" s="36" t="n">
        <v>1</v>
      </c>
      <c r="E14" s="36" t="n">
        <v>7</v>
      </c>
      <c r="F14" s="37" t="n">
        <v>0.7812521875</v>
      </c>
      <c r="G14" s="38" t="n">
        <v>235</v>
      </c>
      <c r="H14" s="35" t="n">
        <v>0.5</v>
      </c>
      <c r="I14" s="35" t="n">
        <v>0</v>
      </c>
      <c r="J14" s="35" t="n">
        <v>0.25</v>
      </c>
      <c r="K14" s="36" t="n">
        <v>1</v>
      </c>
      <c r="L14" s="36" t="n">
        <v>72</v>
      </c>
      <c r="M14" s="37" t="n">
        <v>0.98242205078125</v>
      </c>
    </row>
    <row r="15">
      <c r="A15" s="35" t="n">
        <v>20.15</v>
      </c>
      <c r="B15" s="35" t="n">
        <v>17.85</v>
      </c>
      <c r="C15" s="35" t="n">
        <v>22.2</v>
      </c>
      <c r="D15" s="36" t="n">
        <v>1</v>
      </c>
      <c r="E15" s="36" t="n">
        <v>18</v>
      </c>
      <c r="F15" s="37" t="n">
        <v>0.9677737597656251</v>
      </c>
      <c r="G15" s="38" t="n">
        <v>240</v>
      </c>
      <c r="H15" s="35" t="n">
        <v>0.5</v>
      </c>
      <c r="I15" s="35" t="n">
        <v>0.18</v>
      </c>
      <c r="J15" s="35" t="n">
        <v>0.7</v>
      </c>
      <c r="K15" s="36" t="n">
        <v>4</v>
      </c>
      <c r="L15" s="36" t="n">
        <v>128</v>
      </c>
      <c r="M15" s="37" t="n">
        <v>1.036137631835938</v>
      </c>
    </row>
    <row r="16">
      <c r="A16" s="35" t="n">
        <v>15.8</v>
      </c>
      <c r="B16" s="35" t="n">
        <v>13.95</v>
      </c>
      <c r="C16" s="35" t="n">
        <v>17.25</v>
      </c>
      <c r="D16" s="36" t="n">
        <v>1</v>
      </c>
      <c r="E16" s="36" t="n">
        <v>589</v>
      </c>
      <c r="F16" s="37" t="n">
        <v>1.005864345703125</v>
      </c>
      <c r="G16" s="38" t="n">
        <v>245</v>
      </c>
      <c r="H16" s="35" t="n">
        <v>1.28</v>
      </c>
      <c r="I16" s="35" t="n">
        <v>0</v>
      </c>
      <c r="J16" s="35" t="n">
        <v>1.4</v>
      </c>
      <c r="K16" s="36" t="n">
        <v>6</v>
      </c>
      <c r="L16" s="36" t="n">
        <v>151</v>
      </c>
      <c r="M16" s="37" t="n">
        <v>0.9326178613281251</v>
      </c>
    </row>
    <row r="17">
      <c r="A17" s="35" t="n">
        <v>11.1</v>
      </c>
      <c r="B17" s="35" t="n">
        <v>8.699999999999999</v>
      </c>
      <c r="C17" s="35" t="n">
        <v>12.7</v>
      </c>
      <c r="D17" s="36" t="n">
        <v>14</v>
      </c>
      <c r="E17" s="36" t="n">
        <v>402</v>
      </c>
      <c r="F17" s="37" t="n">
        <v>0.7846701220703125</v>
      </c>
      <c r="G17" s="38" t="n">
        <v>250</v>
      </c>
      <c r="H17" s="35" t="n">
        <v>1.8</v>
      </c>
      <c r="I17" s="35" t="n">
        <v>0</v>
      </c>
      <c r="J17" s="35" t="n">
        <v>3.2</v>
      </c>
      <c r="K17" s="36" t="n">
        <v>8</v>
      </c>
      <c r="L17" s="36" t="n">
        <v>116</v>
      </c>
      <c r="M17" s="37" t="n">
        <v>0.9458013232421875</v>
      </c>
    </row>
    <row r="18">
      <c r="A18" s="35" t="n">
        <v>7.25</v>
      </c>
      <c r="B18" s="35" t="n">
        <v>5.4</v>
      </c>
      <c r="C18" s="35" t="n">
        <v>9.199999999999999</v>
      </c>
      <c r="D18" s="36" t="n">
        <v>19</v>
      </c>
      <c r="E18" s="36" t="n">
        <v>880</v>
      </c>
      <c r="F18" s="37" t="n">
        <v>0.850587431640625</v>
      </c>
      <c r="G18" s="38" t="n">
        <v>255</v>
      </c>
      <c r="H18" s="35" t="n">
        <v>3.81</v>
      </c>
      <c r="I18" s="35" t="n">
        <v>0.6899999999999999</v>
      </c>
      <c r="J18" s="35" t="n">
        <v>4.7</v>
      </c>
      <c r="K18" s="36" t="n">
        <v>1</v>
      </c>
      <c r="L18" s="36" t="n">
        <v>14</v>
      </c>
      <c r="M18" s="37" t="n">
        <v>0.8698743481445312</v>
      </c>
    </row>
    <row r="19">
      <c r="A19" s="35" t="n">
        <v>4.15</v>
      </c>
      <c r="B19" s="35" t="n">
        <v>2.45</v>
      </c>
      <c r="C19" s="35" t="n">
        <v>5</v>
      </c>
      <c r="D19" s="36" t="n">
        <v>12</v>
      </c>
      <c r="E19" s="36" t="n">
        <v>466</v>
      </c>
      <c r="F19" s="37" t="n">
        <v>0.7138700488281251</v>
      </c>
      <c r="G19" s="38" t="n">
        <v>260</v>
      </c>
      <c r="H19" s="35" t="n">
        <v>0.05</v>
      </c>
      <c r="I19" s="35" t="n">
        <v>0.05</v>
      </c>
      <c r="J19" s="35" t="n">
        <v>0.06</v>
      </c>
      <c r="K19" s="36" t="n">
        <v>4084</v>
      </c>
      <c r="L19" s="36" t="n">
        <v>892</v>
      </c>
      <c r="M19" s="37" t="n">
        <v>0.23242955078125</v>
      </c>
    </row>
    <row r="20">
      <c r="A20" s="35" t="n">
        <v>2.42</v>
      </c>
      <c r="B20" s="35" t="n">
        <v>1.35</v>
      </c>
      <c r="C20" s="35" t="n">
        <v>2.8</v>
      </c>
      <c r="D20" s="36" t="n">
        <v>5</v>
      </c>
      <c r="E20" s="36" t="n">
        <v>68</v>
      </c>
      <c r="F20" s="37" t="n">
        <v>0.7675804492187501</v>
      </c>
      <c r="G20" s="38" t="n">
        <v>265</v>
      </c>
      <c r="H20" s="35" t="n">
        <v>0.06</v>
      </c>
      <c r="I20" s="35" t="n">
        <v>0.06</v>
      </c>
      <c r="J20" s="35" t="n">
        <v>0.07000000000000001</v>
      </c>
      <c r="K20" s="36" t="n">
        <v>11504</v>
      </c>
      <c r="L20" s="36" t="n">
        <v>1477</v>
      </c>
      <c r="M20" s="37" t="n">
        <v>0.226570234375</v>
      </c>
    </row>
    <row r="21">
      <c r="A21" s="35" t="n">
        <v>2.08</v>
      </c>
      <c r="B21" s="35" t="n">
        <v>0.55</v>
      </c>
      <c r="C21" s="35" t="n">
        <v>2.89</v>
      </c>
      <c r="D21" s="36" t="n">
        <v>1</v>
      </c>
      <c r="E21" s="36" t="n">
        <v>62</v>
      </c>
      <c r="F21" s="37" t="n">
        <v>0.9711916943359374</v>
      </c>
      <c r="G21" s="38" t="n">
        <v>270</v>
      </c>
      <c r="H21" s="35" t="n">
        <v>0.09</v>
      </c>
      <c r="I21" s="35" t="n">
        <v>0.08</v>
      </c>
      <c r="J21" s="35" t="n">
        <v>0.09</v>
      </c>
      <c r="K21" s="36" t="n">
        <v>8788</v>
      </c>
      <c r="L21" s="36" t="n">
        <v>1658</v>
      </c>
      <c r="M21" s="37" t="n">
        <v>0.223640576171875</v>
      </c>
    </row>
    <row r="22">
      <c r="A22" s="35" t="n">
        <v>1</v>
      </c>
      <c r="B22" s="35" t="n">
        <v>0</v>
      </c>
      <c r="C22" s="35" t="n">
        <v>2.46</v>
      </c>
      <c r="D22" s="36" t="n">
        <v>18</v>
      </c>
      <c r="E22" s="36" t="n">
        <v>52</v>
      </c>
      <c r="F22" s="37" t="n">
        <v>1.080571003417969</v>
      </c>
      <c r="G22" s="38" t="n">
        <v>275</v>
      </c>
      <c r="H22" s="35" t="n">
        <v>14.45</v>
      </c>
      <c r="I22" s="35" t="n">
        <v>13.5</v>
      </c>
      <c r="J22" s="35" t="n">
        <v>17.7</v>
      </c>
      <c r="K22" s="36" t="n">
        <v>1</v>
      </c>
      <c r="L22" s="36" t="n">
        <v>6</v>
      </c>
      <c r="M22" s="37" t="n">
        <v>0.7294948925781251</v>
      </c>
    </row>
    <row r="23">
      <c r="A23" s="35" t="n">
        <v>0.78</v>
      </c>
      <c r="B23" s="35" t="n">
        <v>0.01</v>
      </c>
      <c r="C23" s="35" t="n">
        <v>1.2</v>
      </c>
      <c r="D23" s="36" t="n">
        <v>10</v>
      </c>
      <c r="E23" s="36" t="n">
        <v>23</v>
      </c>
      <c r="F23" s="37" t="n">
        <v>1.060551572265625</v>
      </c>
      <c r="G23" s="38" t="n">
        <v>280</v>
      </c>
      <c r="H23" s="35" t="n">
        <v>0.14</v>
      </c>
      <c r="I23" s="35" t="n">
        <v>0.13</v>
      </c>
      <c r="J23" s="35" t="n">
        <v>0.14</v>
      </c>
      <c r="K23" s="36" t="n">
        <v>7999</v>
      </c>
      <c r="L23" s="36" t="n">
        <v>1532</v>
      </c>
      <c r="M23" s="37" t="n">
        <v>0.2163164306640625</v>
      </c>
    </row>
    <row r="24">
      <c r="A24" s="35" t="n">
        <v>0.49</v>
      </c>
      <c r="B24" s="35" t="n">
        <v>0</v>
      </c>
      <c r="C24" s="35" t="n">
        <v>2.29</v>
      </c>
      <c r="D24" s="36" t="n">
        <v>2</v>
      </c>
      <c r="E24" s="36" t="n">
        <v>11</v>
      </c>
      <c r="F24" s="37" t="n">
        <v>1.466799541015625</v>
      </c>
      <c r="G24" s="38" t="n">
        <v>285</v>
      </c>
      <c r="H24" s="35" t="n">
        <v>0.17</v>
      </c>
      <c r="I24" s="35" t="n">
        <v>0.17</v>
      </c>
      <c r="J24" s="35" t="n">
        <v>0.18</v>
      </c>
      <c r="K24" s="36" t="n">
        <v>6399</v>
      </c>
      <c r="L24" s="36" t="n">
        <v>1065</v>
      </c>
      <c r="M24" s="37" t="n">
        <v>0.213875048828125</v>
      </c>
    </row>
    <row r="25">
      <c r="A25" s="35" t="n">
        <v>0.2</v>
      </c>
      <c r="B25" s="35" t="n">
        <v>0</v>
      </c>
      <c r="C25" s="35" t="n">
        <v>0.55</v>
      </c>
      <c r="D25" s="36" t="n">
        <v>2</v>
      </c>
      <c r="E25" s="36" t="n">
        <v>54</v>
      </c>
      <c r="F25" s="37" t="n">
        <v>1.490236923828125</v>
      </c>
      <c r="G25" s="38" t="n">
        <v>300</v>
      </c>
      <c r="H25" s="35" t="n">
        <v>0.23</v>
      </c>
      <c r="I25" s="35" t="n">
        <v>0.22</v>
      </c>
      <c r="J25" s="35" t="n">
        <v>0.23</v>
      </c>
      <c r="K25" s="36" t="n">
        <v>33985</v>
      </c>
      <c r="L25" s="36" t="n">
        <v>5265</v>
      </c>
      <c r="M25" s="37" t="n">
        <v>0.2114336669921875</v>
      </c>
    </row>
    <row r="26">
      <c r="A26" s="35" t="n">
        <v>1.2</v>
      </c>
      <c r="B26" s="35" t="n">
        <v>0</v>
      </c>
      <c r="C26" s="35" t="n">
        <v>2.18</v>
      </c>
      <c r="D26" s="36" t="n">
        <v>387</v>
      </c>
      <c r="E26" s="36" t="n">
        <v>2</v>
      </c>
      <c r="F26" s="37" t="n">
        <v>2.310551098632812</v>
      </c>
      <c r="G26" s="38" t="n">
        <v>310</v>
      </c>
      <c r="H26" s="35" t="n">
        <v>0.28</v>
      </c>
      <c r="I26" s="35" t="n">
        <v>0.27</v>
      </c>
      <c r="J26" s="35" t="n">
        <v>0.29</v>
      </c>
      <c r="K26" s="36" t="n">
        <v>7753</v>
      </c>
      <c r="L26" s="36" t="n">
        <v>1245</v>
      </c>
      <c r="M26" s="37" t="n">
        <v>0.2085040087890624</v>
      </c>
    </row>
    <row r="27">
      <c r="A27" s="35" t="n">
        <v>10.43</v>
      </c>
      <c r="B27" s="35" t="n">
        <v>10.21</v>
      </c>
      <c r="C27" s="35" t="n">
        <v>10.41</v>
      </c>
      <c r="D27" s="36" t="n">
        <v>566</v>
      </c>
      <c r="E27" s="36" t="n">
        <v>262</v>
      </c>
      <c r="F27" s="37" t="n">
        <v>0.25196060546875</v>
      </c>
      <c r="G27" s="38" t="n">
        <v>702</v>
      </c>
      <c r="H27" s="35" t="n">
        <v>0.34</v>
      </c>
      <c r="I27" s="35" t="n">
        <v>0.34</v>
      </c>
      <c r="J27" s="35" t="n">
        <v>0.35</v>
      </c>
      <c r="K27" s="36" t="n">
        <v>9110</v>
      </c>
      <c r="L27" s="36" t="n">
        <v>1013</v>
      </c>
      <c r="M27" s="37" t="n">
        <v>0.20313296875</v>
      </c>
    </row>
    <row r="28">
      <c r="A28" s="35" t="n">
        <v>9.4</v>
      </c>
      <c r="B28" s="35" t="n">
        <v>9.34</v>
      </c>
      <c r="C28" s="35" t="n">
        <v>9.44</v>
      </c>
      <c r="D28" s="36" t="n">
        <v>956</v>
      </c>
      <c r="E28" s="36" t="n">
        <v>135</v>
      </c>
      <c r="F28" s="37" t="n">
        <v>0.2375564526367187</v>
      </c>
      <c r="G28" s="38" t="n">
        <v>703</v>
      </c>
      <c r="H28" s="35" t="n">
        <v>0.43</v>
      </c>
      <c r="I28" s="35" t="n">
        <v>0.42</v>
      </c>
      <c r="J28" s="35" t="n">
        <v>0.44</v>
      </c>
      <c r="K28" s="36" t="n">
        <v>11466</v>
      </c>
      <c r="L28" s="36" t="n">
        <v>2114</v>
      </c>
      <c r="M28" s="37" t="n">
        <v>0.200203310546875</v>
      </c>
    </row>
    <row r="29">
      <c r="A29" s="35" t="n">
        <v>8.640000000000001</v>
      </c>
      <c r="B29" s="35" t="n">
        <v>8.44</v>
      </c>
      <c r="C29" s="35" t="n">
        <v>8.539999999999999</v>
      </c>
      <c r="D29" s="36" t="n">
        <v>418</v>
      </c>
      <c r="E29" s="36" t="n">
        <v>291</v>
      </c>
      <c r="F29" s="37" t="n">
        <v>0.2297440307617187</v>
      </c>
      <c r="G29" s="38" t="n">
        <v>704</v>
      </c>
      <c r="H29" s="35" t="n">
        <v>0.53</v>
      </c>
      <c r="I29" s="35" t="n">
        <v>0.52</v>
      </c>
      <c r="J29" s="35" t="n">
        <v>0.54</v>
      </c>
      <c r="K29" s="36" t="n">
        <v>13593</v>
      </c>
      <c r="L29" s="36" t="n">
        <v>1738</v>
      </c>
      <c r="M29" s="37" t="n">
        <v>0.1960529614257813</v>
      </c>
    </row>
    <row r="30">
      <c r="A30" s="35" t="n">
        <v>7.73</v>
      </c>
      <c r="B30" s="35" t="n">
        <v>7.56</v>
      </c>
      <c r="C30" s="35" t="n">
        <v>7.66</v>
      </c>
      <c r="D30" s="36" t="n">
        <v>1241</v>
      </c>
      <c r="E30" s="36" t="n">
        <v>1774</v>
      </c>
      <c r="F30" s="37" t="n">
        <v>0.2221757470703125</v>
      </c>
      <c r="G30" s="38" t="n">
        <v>705</v>
      </c>
      <c r="H30" s="35" t="n">
        <v>0.65</v>
      </c>
      <c r="I30" s="35" t="n">
        <v>0.64</v>
      </c>
      <c r="J30" s="35" t="n">
        <v>0.66</v>
      </c>
      <c r="K30" s="36" t="n">
        <v>28116</v>
      </c>
      <c r="L30" s="36" t="n">
        <v>4147</v>
      </c>
      <c r="M30" s="37" t="n">
        <v>0.1916584741210938</v>
      </c>
    </row>
    <row r="31">
      <c r="A31" s="35" t="n">
        <v>6.4</v>
      </c>
      <c r="B31" s="35" t="n">
        <v>6.7</v>
      </c>
      <c r="C31" s="35" t="n">
        <v>6.8</v>
      </c>
      <c r="D31" s="36" t="n">
        <v>1415</v>
      </c>
      <c r="E31" s="36" t="n">
        <v>323</v>
      </c>
      <c r="F31" s="37" t="n">
        <v>0.2146074633789062</v>
      </c>
      <c r="G31" s="38" t="n">
        <v>706</v>
      </c>
      <c r="H31" s="35" t="n">
        <v>0.8</v>
      </c>
      <c r="I31" s="35" t="n">
        <v>0.78</v>
      </c>
      <c r="J31" s="35" t="n">
        <v>0.8</v>
      </c>
      <c r="K31" s="36" t="n">
        <v>16439</v>
      </c>
      <c r="L31" s="36" t="n">
        <v>1886</v>
      </c>
      <c r="M31" s="37" t="n">
        <v>0.186531572265625</v>
      </c>
    </row>
    <row r="32">
      <c r="A32" s="35" t="n">
        <v>6.05</v>
      </c>
      <c r="B32" s="35" t="n">
        <v>5.88</v>
      </c>
      <c r="C32" s="35" t="n">
        <v>5.98</v>
      </c>
      <c r="D32" s="36" t="n">
        <v>1566</v>
      </c>
      <c r="E32" s="36" t="n">
        <v>1134</v>
      </c>
      <c r="F32" s="37" t="n">
        <v>0.2082598706054687</v>
      </c>
      <c r="G32" s="38" t="n">
        <v>707</v>
      </c>
      <c r="H32" s="35" t="n">
        <v>0.97</v>
      </c>
      <c r="I32" s="35" t="n">
        <v>0.96</v>
      </c>
      <c r="J32" s="35" t="n">
        <v>0.97</v>
      </c>
      <c r="K32" s="36" t="n">
        <v>15246</v>
      </c>
      <c r="L32" s="36" t="n">
        <v>2493</v>
      </c>
      <c r="M32" s="37" t="n">
        <v>0.1815267395019531</v>
      </c>
    </row>
    <row r="33">
      <c r="A33" s="35" t="n">
        <v>5.11</v>
      </c>
      <c r="B33" s="35" t="n">
        <v>5.09</v>
      </c>
      <c r="C33" s="35" t="n">
        <v>5.18</v>
      </c>
      <c r="D33" s="36" t="n">
        <v>5308</v>
      </c>
      <c r="E33" s="36" t="n">
        <v>973</v>
      </c>
      <c r="F33" s="37" t="n">
        <v>0.2009357250976562</v>
      </c>
      <c r="G33" s="38" t="n">
        <v>708</v>
      </c>
      <c r="H33" s="35" t="n">
        <v>1.17</v>
      </c>
      <c r="I33" s="35" t="n">
        <v>1.17</v>
      </c>
      <c r="J33" s="35" t="n">
        <v>1.18</v>
      </c>
      <c r="K33" s="36" t="n">
        <v>22789</v>
      </c>
      <c r="L33" s="36" t="n">
        <v>1670</v>
      </c>
      <c r="M33" s="37" t="n">
        <v>0.1768881140136719</v>
      </c>
    </row>
    <row r="34">
      <c r="A34" s="35" t="n">
        <v>4.49</v>
      </c>
      <c r="B34" s="35" t="n">
        <v>4.34</v>
      </c>
      <c r="C34" s="35" t="n">
        <v>4.43</v>
      </c>
      <c r="D34" s="36" t="n">
        <v>10488</v>
      </c>
      <c r="E34" s="36" t="n">
        <v>951</v>
      </c>
      <c r="F34" s="37" t="n">
        <v>0.1947102014160156</v>
      </c>
      <c r="G34" s="38" t="n">
        <v>709</v>
      </c>
      <c r="H34" s="35" t="n">
        <v>1.43</v>
      </c>
      <c r="I34" s="35" t="n">
        <v>1.41</v>
      </c>
      <c r="J34" s="35" t="n">
        <v>1.43</v>
      </c>
      <c r="K34" s="36" t="n">
        <v>34410</v>
      </c>
      <c r="L34" s="36" t="n">
        <v>1554</v>
      </c>
      <c r="M34" s="37" t="n">
        <v>0.1721274194335938</v>
      </c>
    </row>
    <row r="35">
      <c r="A35" s="35" t="n">
        <v>3.65</v>
      </c>
      <c r="B35" s="35" t="n">
        <v>3.65</v>
      </c>
      <c r="C35" s="35" t="n">
        <v>3.72</v>
      </c>
      <c r="D35" s="36" t="n">
        <v>46788</v>
      </c>
      <c r="E35" s="36" t="n">
        <v>1464</v>
      </c>
      <c r="F35" s="37" t="n">
        <v>0.1882405395507812</v>
      </c>
      <c r="G35" s="38" t="n">
        <v>710</v>
      </c>
      <c r="H35" s="35" t="n">
        <v>1.72</v>
      </c>
      <c r="I35" s="35" t="n">
        <v>1.7</v>
      </c>
      <c r="J35" s="35" t="n">
        <v>1.73</v>
      </c>
      <c r="K35" s="36" t="n">
        <v>105180</v>
      </c>
      <c r="L35" s="36" t="n">
        <v>24479</v>
      </c>
      <c r="M35" s="37" t="n">
        <v>0.1673667248535156</v>
      </c>
    </row>
    <row r="36">
      <c r="A36" s="35" t="n">
        <v>3.03</v>
      </c>
      <c r="B36" s="35" t="n">
        <v>3.01</v>
      </c>
      <c r="C36" s="35" t="n">
        <v>3.05</v>
      </c>
      <c r="D36" s="36" t="n">
        <v>52532</v>
      </c>
      <c r="E36" s="36" t="n">
        <v>898</v>
      </c>
      <c r="F36" s="37" t="n">
        <v>0.1811605322265625</v>
      </c>
      <c r="G36" s="38" t="n">
        <v>711</v>
      </c>
      <c r="H36" s="35" t="n">
        <v>2.06</v>
      </c>
      <c r="I36" s="35" t="n">
        <v>2.06</v>
      </c>
      <c r="J36" s="35" t="n">
        <v>2.07</v>
      </c>
      <c r="K36" s="36" t="n">
        <v>63873</v>
      </c>
      <c r="L36" s="36" t="n">
        <v>1900</v>
      </c>
      <c r="M36" s="37" t="n">
        <v>0.1615074084472656</v>
      </c>
    </row>
    <row r="37">
      <c r="A37" s="35" t="n">
        <v>2.44</v>
      </c>
      <c r="B37" s="35" t="n">
        <v>2.43</v>
      </c>
      <c r="C37" s="35" t="n">
        <v>2.45</v>
      </c>
      <c r="D37" s="36" t="n">
        <v>80551</v>
      </c>
      <c r="E37" s="36" t="n">
        <v>832</v>
      </c>
      <c r="F37" s="37" t="n">
        <v>0.1750570776367187</v>
      </c>
      <c r="G37" s="38" t="n">
        <v>712</v>
      </c>
      <c r="H37" s="35" t="n">
        <v>2.47</v>
      </c>
      <c r="I37" s="35" t="n">
        <v>2.47</v>
      </c>
      <c r="J37" s="35" t="n">
        <v>2.5</v>
      </c>
      <c r="K37" s="36" t="n">
        <v>29803</v>
      </c>
      <c r="L37" s="36" t="n">
        <v>2270</v>
      </c>
      <c r="M37" s="37" t="n">
        <v>0.1574791284179687</v>
      </c>
    </row>
    <row r="38">
      <c r="A38" s="35" t="n">
        <v>1.91</v>
      </c>
      <c r="B38" s="35" t="n">
        <v>1.91</v>
      </c>
      <c r="C38" s="35" t="n">
        <v>1.92</v>
      </c>
      <c r="D38" s="36" t="n">
        <v>37916</v>
      </c>
      <c r="E38" s="36" t="n">
        <v>1210</v>
      </c>
      <c r="F38" s="37" t="n">
        <v>0.1694418994140625</v>
      </c>
      <c r="G38" s="38" t="n">
        <v>713</v>
      </c>
      <c r="H38" s="35" t="n">
        <v>2.97</v>
      </c>
      <c r="I38" s="35" t="n">
        <v>2.93</v>
      </c>
      <c r="J38" s="35" t="n">
        <v>2.98</v>
      </c>
      <c r="K38" s="36" t="n">
        <v>8514</v>
      </c>
      <c r="L38" s="36" t="n">
        <v>2622</v>
      </c>
      <c r="M38" s="37" t="n">
        <v>0.1522301574707031</v>
      </c>
    </row>
    <row r="39">
      <c r="A39" s="35" t="n">
        <v>1.47</v>
      </c>
      <c r="B39" s="35" t="n">
        <v>1.47</v>
      </c>
      <c r="C39" s="35" t="n">
        <v>1.49</v>
      </c>
      <c r="D39" s="36" t="n">
        <v>25990</v>
      </c>
      <c r="E39" s="36" t="n">
        <v>1758</v>
      </c>
      <c r="F39" s="37" t="n">
        <v>0.1662681030273438</v>
      </c>
      <c r="G39" s="38" t="n">
        <v>714</v>
      </c>
      <c r="H39" s="35" t="n">
        <v>3.52</v>
      </c>
      <c r="I39" s="35" t="n">
        <v>3.48</v>
      </c>
      <c r="J39" s="35" t="n">
        <v>3.55</v>
      </c>
      <c r="K39" s="36" t="n">
        <v>7985</v>
      </c>
      <c r="L39" s="36" t="n">
        <v>2327</v>
      </c>
      <c r="M39" s="37" t="n">
        <v>0.1482018774414063</v>
      </c>
    </row>
    <row r="40">
      <c r="A40" s="35" t="n">
        <v>1.1</v>
      </c>
      <c r="B40" s="35" t="n">
        <v>1.09</v>
      </c>
      <c r="C40" s="35" t="n">
        <v>1.11</v>
      </c>
      <c r="D40" s="36" t="n">
        <v>37607</v>
      </c>
      <c r="E40" s="36" t="n">
        <v>3025</v>
      </c>
      <c r="F40" s="37" t="n">
        <v>0.1618736157226562</v>
      </c>
      <c r="G40" s="38" t="n">
        <v>715</v>
      </c>
      <c r="H40" s="35" t="n">
        <v>4.09</v>
      </c>
      <c r="I40" s="35" t="n">
        <v>4.1</v>
      </c>
      <c r="J40" s="35" t="n">
        <v>4.2</v>
      </c>
      <c r="K40" s="36" t="n">
        <v>3251</v>
      </c>
      <c r="L40" s="36" t="n">
        <v>1858</v>
      </c>
      <c r="M40" s="37" t="n">
        <v>0.1445398046875</v>
      </c>
    </row>
    <row r="41">
      <c r="A41" s="35" t="n">
        <v>0.79</v>
      </c>
      <c r="B41" s="35" t="n">
        <v>0.79</v>
      </c>
      <c r="C41" s="35" t="n">
        <v>0.8100000000000001</v>
      </c>
      <c r="D41" s="36" t="n">
        <v>20541</v>
      </c>
      <c r="E41" s="36" t="n">
        <v>1772</v>
      </c>
      <c r="F41" s="37" t="n">
        <v>0.1586998193359375</v>
      </c>
      <c r="G41" s="38" t="n">
        <v>716</v>
      </c>
      <c r="H41" s="35" t="n">
        <v>4.8</v>
      </c>
      <c r="I41" s="35" t="n">
        <v>4.8</v>
      </c>
      <c r="J41" s="35" t="n">
        <v>4.89</v>
      </c>
      <c r="K41" s="36" t="n">
        <v>1295</v>
      </c>
      <c r="L41" s="36" t="n">
        <v>1222</v>
      </c>
      <c r="M41" s="37" t="n">
        <v>0.1379480737304687</v>
      </c>
    </row>
    <row r="42">
      <c r="A42" s="35" t="n">
        <v>0.5600000000000001</v>
      </c>
      <c r="B42" s="35" t="n">
        <v>0.55</v>
      </c>
      <c r="C42" s="35" t="n">
        <v>0.57</v>
      </c>
      <c r="D42" s="36" t="n">
        <v>14621</v>
      </c>
      <c r="E42" s="36" t="n">
        <v>1855</v>
      </c>
      <c r="F42" s="37" t="n">
        <v>0.1555260229492187</v>
      </c>
      <c r="G42" s="38" t="n">
        <v>717</v>
      </c>
      <c r="H42" s="35" t="n">
        <v>5.37</v>
      </c>
      <c r="I42" s="35" t="n">
        <v>5.55</v>
      </c>
      <c r="J42" s="35" t="n">
        <v>5.65</v>
      </c>
      <c r="K42" s="36" t="n">
        <v>562</v>
      </c>
      <c r="L42" s="36" t="n">
        <v>102</v>
      </c>
      <c r="M42" s="37" t="n">
        <v>0.1301356518554687</v>
      </c>
    </row>
    <row r="43">
      <c r="A43" s="35" t="n">
        <v>0.38</v>
      </c>
      <c r="B43" s="35" t="n">
        <v>0.37</v>
      </c>
      <c r="C43" s="35" t="n">
        <v>0.38</v>
      </c>
      <c r="D43" s="36" t="n">
        <v>31052</v>
      </c>
      <c r="E43" s="36" t="n">
        <v>1705</v>
      </c>
      <c r="F43" s="37" t="n">
        <v>0.1516198120117188</v>
      </c>
      <c r="G43" s="38" t="n">
        <v>718</v>
      </c>
      <c r="H43" s="35" t="n">
        <v>6.22</v>
      </c>
      <c r="I43" s="35" t="n">
        <v>6.29</v>
      </c>
      <c r="J43" s="35" t="n">
        <v>6.53</v>
      </c>
      <c r="K43" s="36" t="n">
        <v>180</v>
      </c>
      <c r="L43" s="36" t="n">
        <v>321</v>
      </c>
      <c r="M43" s="37" t="n">
        <v>0.1296473754882813</v>
      </c>
    </row>
    <row r="44">
      <c r="A44" s="35" t="n">
        <v>0.24</v>
      </c>
      <c r="B44" s="35" t="n">
        <v>0.24</v>
      </c>
      <c r="C44" s="35" t="n">
        <v>0.25</v>
      </c>
      <c r="D44" s="36" t="n">
        <v>13170</v>
      </c>
      <c r="E44" s="36" t="n">
        <v>1096</v>
      </c>
      <c r="F44" s="37" t="n">
        <v>0.1491784301757813</v>
      </c>
      <c r="G44" s="38" t="n">
        <v>719</v>
      </c>
      <c r="H44" s="35" t="n">
        <v>7.17</v>
      </c>
      <c r="I44" s="35" t="n">
        <v>7.17</v>
      </c>
      <c r="J44" s="35" t="n">
        <v>7.4</v>
      </c>
      <c r="K44" s="36" t="n">
        <v>167</v>
      </c>
      <c r="L44" s="36" t="n">
        <v>132</v>
      </c>
      <c r="M44" s="37" t="n">
        <v>0.118172880859375</v>
      </c>
    </row>
    <row r="45">
      <c r="A45" s="35" t="n">
        <v>0.15</v>
      </c>
      <c r="B45" s="35" t="n">
        <v>0.15</v>
      </c>
      <c r="C45" s="35" t="n">
        <v>0.16</v>
      </c>
      <c r="D45" s="36" t="n">
        <v>13526</v>
      </c>
      <c r="E45" s="36" t="n">
        <v>3095</v>
      </c>
      <c r="F45" s="37" t="n">
        <v>0.147469462890625</v>
      </c>
      <c r="G45" s="38" t="n">
        <v>720</v>
      </c>
      <c r="H45" s="35" t="n">
        <v>7.96</v>
      </c>
      <c r="I45" s="35" t="n">
        <v>8.07</v>
      </c>
      <c r="J45" s="35" t="n">
        <v>8.31</v>
      </c>
      <c r="K45" s="36" t="n">
        <v>1551</v>
      </c>
      <c r="L45" s="36" t="n">
        <v>925</v>
      </c>
      <c r="M45" s="37" t="n">
        <v>0.06250937500000001</v>
      </c>
    </row>
    <row r="46">
      <c r="A46" s="35" t="n">
        <v>0.1</v>
      </c>
      <c r="B46" s="35" t="n">
        <v>0.09</v>
      </c>
      <c r="C46" s="35" t="n">
        <v>0.1</v>
      </c>
      <c r="D46" s="36" t="n">
        <v>8111</v>
      </c>
      <c r="E46" s="36" t="n">
        <v>2727</v>
      </c>
      <c r="F46" s="37" t="n">
        <v>0.1460046337890625</v>
      </c>
      <c r="G46" s="38" t="n">
        <v>721</v>
      </c>
      <c r="H46" s="35" t="n">
        <v>9.02</v>
      </c>
      <c r="I46" s="35" t="n">
        <v>9.01</v>
      </c>
      <c r="J46" s="35" t="n">
        <v>9.25</v>
      </c>
      <c r="K46" s="36" t="n">
        <v>497</v>
      </c>
      <c r="L46" s="36" t="n">
        <v>353</v>
      </c>
      <c r="M46" s="37" t="n">
        <v>1e-05</v>
      </c>
    </row>
    <row r="47">
      <c r="A47" s="35" t="n">
        <v>0.06</v>
      </c>
      <c r="B47" s="35" t="n">
        <v>0.05</v>
      </c>
      <c r="C47" s="35" t="n">
        <v>0.06</v>
      </c>
      <c r="D47" s="36" t="n">
        <v>4405</v>
      </c>
      <c r="E47" s="36" t="n">
        <v>2123</v>
      </c>
      <c r="F47" s="37" t="n">
        <v>0.1445398046875</v>
      </c>
      <c r="G47" s="38" t="n">
        <v>722</v>
      </c>
      <c r="H47" s="35" t="n">
        <v>10.19</v>
      </c>
      <c r="I47" s="35" t="n">
        <v>8.83</v>
      </c>
      <c r="J47" s="35" t="n">
        <v>10.26</v>
      </c>
      <c r="K47" s="36" t="n">
        <v>54</v>
      </c>
      <c r="L47" s="36" t="n">
        <v>95</v>
      </c>
      <c r="M47" s="37" t="n">
        <v>1e-05</v>
      </c>
    </row>
    <row r="48">
      <c r="A48" s="35" t="n">
        <v>0.04</v>
      </c>
      <c r="B48" s="35" t="n">
        <v>0.04</v>
      </c>
      <c r="C48" s="35" t="n">
        <v>0.05</v>
      </c>
      <c r="D48" s="36" t="n">
        <v>5232</v>
      </c>
      <c r="E48" s="36" t="n">
        <v>1478</v>
      </c>
      <c r="F48" s="37" t="n">
        <v>0.151375673828125</v>
      </c>
      <c r="G48" s="38" t="n">
        <v>723</v>
      </c>
      <c r="H48" s="35" t="n">
        <v>11.16</v>
      </c>
      <c r="I48" s="35" t="n">
        <v>9.83</v>
      </c>
      <c r="J48" s="35" t="n">
        <v>11.25</v>
      </c>
      <c r="K48" s="36" t="n">
        <v>554</v>
      </c>
      <c r="L48" s="36" t="n">
        <v>175</v>
      </c>
      <c r="M48" s="37" t="n">
        <v>1e-05</v>
      </c>
    </row>
    <row r="49">
      <c r="A49" s="35" t="n">
        <v>0.03</v>
      </c>
      <c r="B49" s="35" t="n">
        <v>0.02</v>
      </c>
      <c r="C49" s="35" t="n">
        <v>0.03</v>
      </c>
      <c r="D49" s="36" t="n">
        <v>2341</v>
      </c>
      <c r="E49" s="36" t="n">
        <v>2330</v>
      </c>
      <c r="F49" s="37" t="n">
        <v>0.15039912109375</v>
      </c>
      <c r="G49" s="38" t="n">
        <v>724</v>
      </c>
      <c r="H49" s="35" t="n">
        <v>10.84</v>
      </c>
      <c r="I49" s="35" t="n">
        <v>10.83</v>
      </c>
      <c r="J49" s="35" t="n">
        <v>12.29</v>
      </c>
      <c r="K49" s="36" t="n">
        <v>3573</v>
      </c>
      <c r="L49" s="36" t="n">
        <v>41</v>
      </c>
      <c r="M49" s="37" t="n">
        <v>1e-05</v>
      </c>
    </row>
    <row r="50">
      <c r="A50" s="35" t="n">
        <v>0.02</v>
      </c>
      <c r="B50" s="35" t="n">
        <v>0.02</v>
      </c>
      <c r="C50" s="35" t="n">
        <v>0.03</v>
      </c>
      <c r="D50" s="36" t="n">
        <v>3736</v>
      </c>
      <c r="E50" s="36" t="n">
        <v>2578</v>
      </c>
      <c r="F50" s="37" t="n">
        <v>0.161141201171875</v>
      </c>
      <c r="G50" s="38" t="n">
        <v>725</v>
      </c>
      <c r="H50" s="35" t="n">
        <v>13.35</v>
      </c>
      <c r="I50" s="35" t="n">
        <v>13.01</v>
      </c>
      <c r="J50" s="35" t="n">
        <v>13.23</v>
      </c>
      <c r="K50" s="36" t="n">
        <v>46</v>
      </c>
      <c r="L50" s="36" t="n">
        <v>207</v>
      </c>
      <c r="M50" s="37" t="n">
        <v>1e-05</v>
      </c>
    </row>
    <row r="51">
      <c r="A51" s="35" t="n">
        <v>0.01</v>
      </c>
      <c r="B51" s="35" t="n">
        <v>0.01</v>
      </c>
      <c r="C51" s="35" t="n">
        <v>0.02</v>
      </c>
      <c r="D51" s="36" t="n">
        <v>2572</v>
      </c>
      <c r="E51" s="36" t="n">
        <v>2215</v>
      </c>
      <c r="F51" s="37" t="n">
        <v>0.16211775390625</v>
      </c>
      <c r="G51" s="38" t="n">
        <v>726</v>
      </c>
      <c r="H51" s="35" t="n">
        <v>16.4</v>
      </c>
      <c r="I51" s="35" t="n">
        <v>12.83</v>
      </c>
      <c r="J51" s="35" t="n">
        <v>14.26</v>
      </c>
      <c r="K51" s="36" t="n">
        <v>13</v>
      </c>
      <c r="L51" s="36" t="n">
        <v>54</v>
      </c>
      <c r="M51" s="37" t="n">
        <v>1e-05</v>
      </c>
    </row>
    <row r="52">
      <c r="A52" s="35" t="n">
        <v>0.01</v>
      </c>
      <c r="B52" s="35" t="n">
        <v>0.01</v>
      </c>
      <c r="C52" s="35" t="n">
        <v>0.02</v>
      </c>
      <c r="D52" s="36" t="n">
        <v>1614</v>
      </c>
      <c r="E52" s="36" t="n">
        <v>2246</v>
      </c>
      <c r="F52" s="37" t="n">
        <v>0.17188328125</v>
      </c>
      <c r="G52" s="38" t="n">
        <v>727</v>
      </c>
      <c r="H52" s="35" t="n">
        <v>16.17</v>
      </c>
      <c r="I52" s="35" t="n">
        <v>13.83</v>
      </c>
      <c r="J52" s="35" t="n">
        <v>15.23</v>
      </c>
      <c r="K52" s="36" t="n">
        <v>1</v>
      </c>
      <c r="L52" s="36" t="n">
        <v>484</v>
      </c>
      <c r="M52" s="37" t="n">
        <v>1e-05</v>
      </c>
    </row>
    <row r="53">
      <c r="A53" s="35" t="n">
        <v>0.02</v>
      </c>
      <c r="B53" s="35" t="n">
        <v>0.01</v>
      </c>
      <c r="C53" s="35" t="n">
        <v>0.02</v>
      </c>
      <c r="D53" s="36" t="n">
        <v>3099</v>
      </c>
      <c r="E53" s="36" t="n">
        <v>2270</v>
      </c>
      <c r="F53" s="37" t="n">
        <v>0.18164880859375</v>
      </c>
      <c r="G53" s="38" t="n">
        <v>728</v>
      </c>
      <c r="H53" s="35" t="n">
        <v>13.22</v>
      </c>
      <c r="I53" s="35" t="n">
        <v>14.82</v>
      </c>
      <c r="J53" s="35" t="n">
        <v>17.52</v>
      </c>
      <c r="K53" s="36" t="n">
        <v>30</v>
      </c>
      <c r="L53" s="36" t="n">
        <v>0</v>
      </c>
      <c r="M53" s="37" t="n">
        <v>0.4162656030273437</v>
      </c>
    </row>
    <row r="54">
      <c r="A54" s="35" t="n">
        <v>0.01</v>
      </c>
      <c r="B54" s="35" t="n">
        <v>0.01</v>
      </c>
      <c r="C54" s="35" t="n">
        <v>0.02</v>
      </c>
      <c r="D54" s="36" t="n">
        <v>920</v>
      </c>
      <c r="E54" s="36" t="n">
        <v>1917</v>
      </c>
      <c r="F54" s="37" t="n">
        <v>0.1914143359375</v>
      </c>
      <c r="G54" s="38" t="n">
        <v>729</v>
      </c>
      <c r="H54" s="35" t="n">
        <v>15.83</v>
      </c>
      <c r="I54" s="35" t="n">
        <v>15.82</v>
      </c>
      <c r="J54" s="35" t="n">
        <v>18.52</v>
      </c>
      <c r="K54" s="36" t="n">
        <v>2</v>
      </c>
      <c r="L54" s="36" t="n">
        <v>0</v>
      </c>
      <c r="M54" s="37" t="n">
        <v>0.4328669995117188</v>
      </c>
    </row>
    <row r="55">
      <c r="A55" s="35" t="n">
        <v>0.02</v>
      </c>
      <c r="B55" s="35" t="n">
        <v>0.01</v>
      </c>
      <c r="C55" s="35" t="n">
        <v>0.02</v>
      </c>
      <c r="D55" s="36" t="n">
        <v>1074</v>
      </c>
      <c r="E55" s="36" t="n">
        <v>2947</v>
      </c>
      <c r="F55" s="37" t="n">
        <v>0.20117986328125</v>
      </c>
      <c r="G55" s="38" t="n">
        <v>730</v>
      </c>
      <c r="H55" s="35" t="n">
        <v>18</v>
      </c>
      <c r="I55" s="35" t="n">
        <v>16.82</v>
      </c>
      <c r="J55" s="35" t="n">
        <v>19.52</v>
      </c>
      <c r="K55" s="36" t="n">
        <v>26</v>
      </c>
      <c r="L55" s="36" t="n">
        <v>1</v>
      </c>
      <c r="M55" s="37" t="n">
        <v>0.4494683959960937</v>
      </c>
    </row>
    <row r="56">
      <c r="A56" s="35" t="n">
        <v>0.01</v>
      </c>
      <c r="B56" s="35" t="n">
        <v>0.01</v>
      </c>
      <c r="C56" s="35" t="n">
        <v>0.02</v>
      </c>
      <c r="D56" s="36" t="n">
        <v>436</v>
      </c>
      <c r="E56" s="36" t="n">
        <v>883</v>
      </c>
      <c r="F56" s="37" t="n">
        <v>0.210945390625</v>
      </c>
      <c r="G56" s="38" t="n">
        <v>731</v>
      </c>
      <c r="H56" s="35" t="n">
        <v>20.12</v>
      </c>
      <c r="I56" s="35" t="n">
        <v>17.82</v>
      </c>
      <c r="J56" s="35" t="n">
        <v>20.52</v>
      </c>
      <c r="K56" s="36" t="n">
        <v>2</v>
      </c>
      <c r="L56" s="36" t="n">
        <v>0</v>
      </c>
      <c r="M56" s="37" t="n">
        <v>0.4655815161132813</v>
      </c>
    </row>
    <row r="57">
      <c r="A57" s="35" t="n">
        <v>0.01</v>
      </c>
      <c r="B57" s="35" t="n">
        <v>0</v>
      </c>
      <c r="C57" s="35" t="n">
        <v>0.01</v>
      </c>
      <c r="D57" s="36" t="n">
        <v>266</v>
      </c>
      <c r="E57" s="36" t="n">
        <v>961</v>
      </c>
      <c r="F57" s="37" t="n">
        <v>0.20313296875</v>
      </c>
      <c r="G57" s="38" t="n">
        <v>732</v>
      </c>
      <c r="H57" s="35" t="n">
        <v>18.93</v>
      </c>
      <c r="I57" s="35" t="n">
        <v>18.82</v>
      </c>
      <c r="J57" s="35" t="n">
        <v>21.52</v>
      </c>
      <c r="K57" s="36" t="n">
        <v>4</v>
      </c>
      <c r="L57" s="36" t="n">
        <v>0</v>
      </c>
      <c r="M57" s="37" t="n">
        <v>0.4816946362304688</v>
      </c>
    </row>
    <row r="58">
      <c r="A58" s="35" t="n">
        <v>0.01</v>
      </c>
      <c r="B58" s="35" t="n">
        <v>0</v>
      </c>
      <c r="C58" s="35" t="n">
        <v>0.01</v>
      </c>
      <c r="D58" s="36" t="n">
        <v>214</v>
      </c>
      <c r="E58" s="36" t="n">
        <v>1068</v>
      </c>
      <c r="F58" s="37" t="n">
        <v>0.210945390625</v>
      </c>
      <c r="G58" s="38" t="n">
        <v>733</v>
      </c>
      <c r="H58" s="35" t="n">
        <v>19.93</v>
      </c>
      <c r="I58" s="35" t="n">
        <v>19.82</v>
      </c>
      <c r="J58" s="35" t="n">
        <v>22.52</v>
      </c>
      <c r="K58" s="36" t="n">
        <v>4</v>
      </c>
      <c r="L58" s="36" t="n">
        <v>0</v>
      </c>
      <c r="M58" s="37" t="n">
        <v>0.4978077563476563</v>
      </c>
    </row>
    <row r="59">
      <c r="A59" s="35" t="n">
        <v>0.01</v>
      </c>
      <c r="B59" s="35" t="n">
        <v>0</v>
      </c>
      <c r="C59" s="35" t="n">
        <v>0.01</v>
      </c>
      <c r="D59" s="36" t="n">
        <v>211</v>
      </c>
      <c r="E59" s="36" t="n">
        <v>262</v>
      </c>
      <c r="F59" s="37" t="n">
        <v>0.2226640234375</v>
      </c>
      <c r="G59" s="38" t="n">
        <v>734</v>
      </c>
      <c r="H59" s="35" t="n"/>
      <c r="I59" s="35" t="n"/>
      <c r="J59" s="35" t="n"/>
      <c r="K59" s="36" t="n"/>
      <c r="L59" s="36" t="n"/>
      <c r="M59" s="37" t="n"/>
    </row>
    <row r="60">
      <c r="A60" s="35" t="n">
        <v>0.01</v>
      </c>
      <c r="B60" s="35" t="n">
        <v>0</v>
      </c>
      <c r="C60" s="35" t="n">
        <v>0.01</v>
      </c>
      <c r="D60" s="36" t="n">
        <v>3886</v>
      </c>
      <c r="E60" s="36" t="n">
        <v>627</v>
      </c>
      <c r="F60" s="37" t="n">
        <v>0.2304764453125</v>
      </c>
      <c r="G60" s="38" t="n">
        <v>735</v>
      </c>
      <c r="H60" s="35" t="n">
        <v>21.15</v>
      </c>
      <c r="I60" s="35" t="n">
        <v>21.7</v>
      </c>
      <c r="J60" s="35" t="n">
        <v>24.52</v>
      </c>
      <c r="K60" s="36" t="n">
        <v>2</v>
      </c>
      <c r="L60" s="36" t="n">
        <v>0</v>
      </c>
      <c r="M60" s="37" t="n">
        <v>0.5290574438476563</v>
      </c>
    </row>
    <row r="61">
      <c r="A61" s="35" t="n">
        <v>0.01</v>
      </c>
      <c r="B61" s="35" t="n">
        <v>0</v>
      </c>
      <c r="C61" s="35" t="n">
        <v>0.01</v>
      </c>
      <c r="D61" s="36" t="n">
        <v>3985</v>
      </c>
      <c r="E61" s="36" t="n">
        <v>4327</v>
      </c>
      <c r="F61" s="37" t="n">
        <v>0.2382888671875</v>
      </c>
      <c r="G61" s="38" t="n">
        <v>736</v>
      </c>
      <c r="H61" s="35" t="n">
        <v>22.84</v>
      </c>
      <c r="I61" s="35" t="n">
        <v>22.7</v>
      </c>
      <c r="J61" s="35" t="n">
        <v>25.52</v>
      </c>
      <c r="K61" s="36" t="n">
        <v>2</v>
      </c>
      <c r="L61" s="36" t="n">
        <v>0</v>
      </c>
      <c r="M61" s="37" t="n">
        <v>0.5446822875976562</v>
      </c>
    </row>
    <row r="62">
      <c r="A62" s="35" t="n">
        <v>0.01</v>
      </c>
      <c r="B62" s="35" t="n">
        <v>0</v>
      </c>
      <c r="C62" s="35" t="n">
        <v>0.01</v>
      </c>
      <c r="D62" s="36" t="n">
        <v>46</v>
      </c>
      <c r="E62" s="36" t="n">
        <v>405</v>
      </c>
      <c r="F62" s="37" t="n">
        <v>0.2461012890625</v>
      </c>
      <c r="G62" s="38" t="n">
        <v>737</v>
      </c>
      <c r="H62" s="35" t="n">
        <v>23.94</v>
      </c>
      <c r="I62" s="35" t="n">
        <v>23.7</v>
      </c>
      <c r="J62" s="35" t="n">
        <v>26.52</v>
      </c>
      <c r="K62" s="36" t="n">
        <v>2</v>
      </c>
      <c r="L62" s="36" t="n">
        <v>0</v>
      </c>
      <c r="M62" s="37" t="n">
        <v>0.5600629931640625</v>
      </c>
    </row>
    <row r="63">
      <c r="A63" s="35" t="n">
        <v>0.01</v>
      </c>
      <c r="B63" s="35" t="n">
        <v>0</v>
      </c>
      <c r="C63" s="35" t="n">
        <v>0.01</v>
      </c>
      <c r="D63" s="36" t="n">
        <v>626</v>
      </c>
      <c r="E63" s="36" t="n">
        <v>297</v>
      </c>
      <c r="F63" s="37" t="n">
        <v>0.257819921875</v>
      </c>
      <c r="G63" s="38" t="n">
        <v>738</v>
      </c>
      <c r="H63" s="35" t="n">
        <v>24.75</v>
      </c>
      <c r="I63" s="35" t="n">
        <v>24.7</v>
      </c>
      <c r="J63" s="35" t="n">
        <v>27.52</v>
      </c>
      <c r="K63" s="36" t="n">
        <v>2</v>
      </c>
      <c r="L63" s="36" t="n">
        <v>0</v>
      </c>
      <c r="M63" s="37" t="n">
        <v>0.5751995605468749</v>
      </c>
    </row>
    <row r="64">
      <c r="A64" s="35" t="n">
        <v>0.01</v>
      </c>
      <c r="B64" s="35" t="n">
        <v>0</v>
      </c>
      <c r="C64" s="35" t="n">
        <v>0.01</v>
      </c>
      <c r="D64" s="36" t="n">
        <v>654</v>
      </c>
      <c r="E64" s="36" t="n">
        <v>1061</v>
      </c>
      <c r="F64" s="37" t="n">
        <v>0.26563234375</v>
      </c>
      <c r="G64" s="38" t="n">
        <v>739</v>
      </c>
      <c r="H64" s="35" t="n"/>
      <c r="I64" s="35" t="n"/>
      <c r="J64" s="35" t="n"/>
      <c r="K64" s="36" t="n"/>
      <c r="L64" s="36" t="n"/>
      <c r="M64" s="37" t="n"/>
    </row>
    <row r="65">
      <c r="A65" s="35" t="n">
        <v>0.01</v>
      </c>
      <c r="B65" s="35" t="n">
        <v>0</v>
      </c>
      <c r="C65" s="35" t="n">
        <v>0.01</v>
      </c>
      <c r="D65" s="36" t="n">
        <v>117</v>
      </c>
      <c r="E65" s="36" t="n">
        <v>779</v>
      </c>
      <c r="F65" s="37" t="n">
        <v>0.273444765625</v>
      </c>
      <c r="G65" s="38" t="n">
        <v>740</v>
      </c>
      <c r="H65" s="35" t="n"/>
      <c r="I65" s="35" t="n"/>
      <c r="J65" s="35" t="n"/>
      <c r="K65" s="36" t="n"/>
      <c r="L65" s="36" t="n"/>
      <c r="M65" s="37" t="n"/>
    </row>
  </sheetData>
  <mergeCells count="1">
    <mergeCell ref="A1:M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49"/>
  <sheetViews>
    <sheetView zoomScale="116" zoomScaleNormal="100" workbookViewId="0">
      <selection activeCell="I6" sqref="I6"/>
    </sheetView>
  </sheetViews>
  <sheetFormatPr baseColWidth="10" defaultColWidth="8.6640625" defaultRowHeight="15"/>
  <cols>
    <col width="22" customWidth="1" style="65" min="2" max="2"/>
    <col width="14" customWidth="1" style="65" min="3" max="6"/>
    <col width="16.83203125" customWidth="1" style="65" min="7" max="7"/>
    <col width="22" customWidth="1" style="65" min="8" max="8"/>
    <col width="22.1640625" customWidth="1" style="65" min="9" max="9"/>
  </cols>
  <sheetData>
    <row r="1" ht="20" customHeight="1" s="65">
      <c r="B1" s="64" t="inlineStr">
        <is>
          <t>Strategy P&amp;L Calculator</t>
        </is>
      </c>
    </row>
    <row r="3">
      <c r="B3" s="28" t="inlineStr">
        <is>
          <t>Underlying ($)</t>
        </is>
      </c>
      <c r="C3" s="39" t="n">
        <v>100</v>
      </c>
      <c r="E3" s="28" t="inlineStr">
        <is>
          <t>Contracts</t>
        </is>
      </c>
      <c r="F3" s="40" t="n">
        <v>1</v>
      </c>
    </row>
    <row r="5">
      <c r="B5" s="5" t="inlineStr">
        <is>
          <t>Leg</t>
        </is>
      </c>
      <c r="C5" s="5" t="inlineStr">
        <is>
          <t>Type</t>
        </is>
      </c>
      <c r="D5" s="5" t="inlineStr">
        <is>
          <t>Action</t>
        </is>
      </c>
      <c r="E5" s="5" t="inlineStr">
        <is>
          <t>Strike</t>
        </is>
      </c>
      <c r="F5" s="5" t="inlineStr">
        <is>
          <t>Premium</t>
        </is>
      </c>
      <c r="G5" s="5" t="inlineStr">
        <is>
          <t>Qty (× contracts)</t>
        </is>
      </c>
      <c r="H5" s="5" t="inlineStr">
        <is>
          <t>Position Cost</t>
        </is>
      </c>
      <c r="I5" s="5" t="inlineStr">
        <is>
          <t>Position Value @ Expiry</t>
        </is>
      </c>
    </row>
    <row r="6">
      <c r="B6" s="28" t="inlineStr">
        <is>
          <t>Leg 1</t>
        </is>
      </c>
      <c r="C6" s="29" t="inlineStr">
        <is>
          <t>Call</t>
        </is>
      </c>
      <c r="D6" s="29" t="inlineStr">
        <is>
          <t>Buy</t>
        </is>
      </c>
      <c r="E6" s="41" t="n">
        <v>105</v>
      </c>
      <c r="F6" s="41" t="n">
        <v>2.5</v>
      </c>
      <c r="G6" s="29" t="n">
        <v>1</v>
      </c>
      <c r="H6" s="42">
        <f>IF(D6="Buy",F6*100*G6*$F$3,IF(D6="Sell",-F6*100*G6*$F$3,0))</f>
        <v/>
      </c>
      <c r="I6" s="42">
        <f>IF(G6="","",IF(C6="Call",MAX($C$3-E6,0),IF(C6="Put",MAX(E6-$C$3,0),0))*100*G6*$F$3*IF(D6="Buy",1,IF(D6="Sell",-1,0)))</f>
        <v/>
      </c>
    </row>
    <row r="7">
      <c r="B7" s="28" t="inlineStr">
        <is>
          <t>Leg 2</t>
        </is>
      </c>
      <c r="C7" s="29" t="inlineStr">
        <is>
          <t>Call</t>
        </is>
      </c>
      <c r="D7" s="29" t="inlineStr">
        <is>
          <t>Sell</t>
        </is>
      </c>
      <c r="E7" s="41" t="n">
        <v>110</v>
      </c>
      <c r="F7" s="41" t="n">
        <v>1</v>
      </c>
      <c r="G7" s="29" t="n">
        <v>1</v>
      </c>
      <c r="H7" s="42">
        <f>IF(D7="Buy",F7*100*G7*$F$3,IF(D7="Sell",-F7*100*G7*$F$3,0))</f>
        <v/>
      </c>
      <c r="I7" s="42">
        <f>IF(G7="","",IF(C7="Call",MAX($C$3-E7,0),IF(C7="Put",MAX(E7-$C$3,0),0))*100*G7*$F$3*IF(D7="Buy",1,IF(D7="Sell",-1,0)))</f>
        <v/>
      </c>
    </row>
    <row r="8">
      <c r="B8" s="28" t="inlineStr">
        <is>
          <t>Leg 3</t>
        </is>
      </c>
      <c r="C8" s="29" t="inlineStr">
        <is>
          <t>—</t>
        </is>
      </c>
      <c r="D8" s="29" t="inlineStr">
        <is>
          <t>—</t>
        </is>
      </c>
      <c r="E8" s="41" t="n"/>
      <c r="F8" s="41" t="n"/>
      <c r="G8" s="29" t="n"/>
      <c r="H8" s="42">
        <f>IF(D8="Buy",F8*100*G8*$F$3,IF(D8="Sell",-F8*100*G8*$F$3,0))</f>
        <v/>
      </c>
      <c r="I8" s="42">
        <f>IF(G8="","",IF(C8="Call",MAX($C$3-E8,0),IF(C8="Put",MAX(E8-$C$3,0),0))*100*G8*$F$3*IF(D8="Buy",1,IF(D8="Sell",-1,0)))</f>
        <v/>
      </c>
    </row>
    <row r="9">
      <c r="B9" s="28" t="inlineStr">
        <is>
          <t>Leg 4</t>
        </is>
      </c>
      <c r="C9" s="29" t="inlineStr">
        <is>
          <t>—</t>
        </is>
      </c>
      <c r="D9" s="29" t="inlineStr">
        <is>
          <t>—</t>
        </is>
      </c>
      <c r="E9" s="41" t="n"/>
      <c r="F9" s="41" t="n"/>
      <c r="G9" s="29" t="n"/>
      <c r="H9" s="42">
        <f>IF(D9="Buy",F9*100*G9*$F$3,IF(D9="Sell",-F9*100*G9*$F$3,0))</f>
        <v/>
      </c>
      <c r="I9" s="42">
        <f>IF(G9="","",IF(C9="Call",MAX($C$3-E9,0),IF(C9="Put",MAX(E9-$C$3,0),0))*100*G9*$F$3*IF(D9="Buy",1,IF(D9="Sell",-1,0)))</f>
        <v/>
      </c>
    </row>
    <row r="11">
      <c r="B11" s="67" t="inlineStr">
        <is>
          <t>Summary @ Underlying Price</t>
        </is>
      </c>
      <c r="C11" s="68" t="n"/>
      <c r="D11" s="68" t="n"/>
      <c r="E11" s="68" t="n"/>
      <c r="F11" s="68" t="n"/>
      <c r="G11" s="68" t="n"/>
      <c r="H11" s="68" t="n"/>
      <c r="I11" s="69" t="n"/>
    </row>
    <row r="12">
      <c r="B12" s="28" t="inlineStr">
        <is>
          <t>Net Debit / (Credit) at entry</t>
        </is>
      </c>
      <c r="C12" s="43">
        <f>SUM(H6:H9)</f>
        <v/>
      </c>
    </row>
    <row r="13">
      <c r="B13" s="28" t="inlineStr">
        <is>
          <t>P&amp;L at expiry @ Underlying</t>
        </is>
      </c>
      <c r="C13" s="43">
        <f>SUM(I6:I9)-SUM(H6:H9)</f>
        <v/>
      </c>
    </row>
    <row r="16" ht="16" customHeight="1" s="65">
      <c r="B16" s="44" t="inlineStr">
        <is>
          <t>Payoff Diagram (P&amp;L by Underlying Price)</t>
        </is>
      </c>
    </row>
    <row r="17">
      <c r="B17" s="5" t="inlineStr">
        <is>
          <t>Underlying $</t>
        </is>
      </c>
      <c r="C17" s="5" t="inlineStr">
        <is>
          <t>Total P&amp;L</t>
        </is>
      </c>
      <c r="D17" s="5" t="inlineStr">
        <is>
          <t>% of Account</t>
        </is>
      </c>
    </row>
    <row r="18">
      <c r="B18" s="45">
        <f>$C$3*(0.8+0*0.02)</f>
        <v/>
      </c>
      <c r="C18" s="43">
        <f>((IF(C6="Call",MAX(B18-E6,0),IF(C6="Put",MAX(E6-B18,0),0)))-F6)*(IF(D6="Buy",1,IF(D6="Sell",-1,0)))*100*IF(G6="",0,G6)*$F$3+((IF(C7="Call",MAX(B18-E7,0),IF(C7="Put",MAX(E7-B18,0),0)))-F7)*(IF(D7="Buy",1,IF(D7="Sell",-1,0)))*100*IF(G7="",0,G7)*$F$3+((IF(C8="Call",MAX(B18-E8,0),IF(C8="Put",MAX(E8-B18,0),0)))-F8)*(IF(D8="Buy",1,IF(D8="Sell",-1,0)))*100*IF(G8="",0,G8)*$F$3+((IF(C9="Call",MAX(B18-E9,0),IF(C9="Put",MAX(E9-B18,0),0)))-F9)*(IF(D9="Buy",1,IF(D9="Sell",-1,0)))*100*IF(G9="",0,G9)*$F$3</f>
        <v/>
      </c>
      <c r="D18" s="46">
        <f>C18/account_size</f>
        <v/>
      </c>
    </row>
    <row r="19">
      <c r="B19" s="45">
        <f>$C$3*(0.8+1*0.02)</f>
        <v/>
      </c>
      <c r="C19" s="43">
        <f>((IF(C6="Call",MAX(B19-E6,0),IF(C6="Put",MAX(E6-B19,0),0)))-F6)*(IF(D6="Buy",1,IF(D6="Sell",-1,0)))*100*IF(G6="",0,G6)*$F$3+((IF(C7="Call",MAX(B19-E7,0),IF(C7="Put",MAX(E7-B19,0),0)))-F7)*(IF(D7="Buy",1,IF(D7="Sell",-1,0)))*100*IF(G7="",0,G7)*$F$3+((IF(C8="Call",MAX(B19-E8,0),IF(C8="Put",MAX(E8-B19,0),0)))-F8)*(IF(D8="Buy",1,IF(D8="Sell",-1,0)))*100*IF(G8="",0,G8)*$F$3+((IF(C9="Call",MAX(B19-E9,0),IF(C9="Put",MAX(E9-B19,0),0)))-F9)*(IF(D9="Buy",1,IF(D9="Sell",-1,0)))*100*IF(G9="",0,G9)*$F$3</f>
        <v/>
      </c>
      <c r="D19" s="46">
        <f>C19/account_size</f>
        <v/>
      </c>
    </row>
    <row r="20">
      <c r="B20" s="45">
        <f>$C$3*(0.8+2*0.02)</f>
        <v/>
      </c>
      <c r="C20" s="43">
        <f>((IF(C6="Call",MAX(B20-E6,0),IF(C6="Put",MAX(E6-B20,0),0)))-F6)*(IF(D6="Buy",1,IF(D6="Sell",-1,0)))*100*IF(G6="",0,G6)*$F$3+((IF(C7="Call",MAX(B20-E7,0),IF(C7="Put",MAX(E7-B20,0),0)))-F7)*(IF(D7="Buy",1,IF(D7="Sell",-1,0)))*100*IF(G7="",0,G7)*$F$3+((IF(C8="Call",MAX(B20-E8,0),IF(C8="Put",MAX(E8-B20,0),0)))-F8)*(IF(D8="Buy",1,IF(D8="Sell",-1,0)))*100*IF(G8="",0,G8)*$F$3+((IF(C9="Call",MAX(B20-E9,0),IF(C9="Put",MAX(E9-B20,0),0)))-F9)*(IF(D9="Buy",1,IF(D9="Sell",-1,0)))*100*IF(G9="",0,G9)*$F$3</f>
        <v/>
      </c>
      <c r="D20" s="46">
        <f>C20/account_size</f>
        <v/>
      </c>
    </row>
    <row r="21">
      <c r="B21" s="45">
        <f>$C$3*(0.8+3*0.02)</f>
        <v/>
      </c>
      <c r="C21" s="43">
        <f>((IF(C6="Call",MAX(B21-E6,0),IF(C6="Put",MAX(E6-B21,0),0)))-F6)*(IF(D6="Buy",1,IF(D6="Sell",-1,0)))*100*IF(G6="",0,G6)*$F$3+((IF(C7="Call",MAX(B21-E7,0),IF(C7="Put",MAX(E7-B21,0),0)))-F7)*(IF(D7="Buy",1,IF(D7="Sell",-1,0)))*100*IF(G7="",0,G7)*$F$3+((IF(C8="Call",MAX(B21-E8,0),IF(C8="Put",MAX(E8-B21,0),0)))-F8)*(IF(D8="Buy",1,IF(D8="Sell",-1,0)))*100*IF(G8="",0,G8)*$F$3+((IF(C9="Call",MAX(B21-E9,0),IF(C9="Put",MAX(E9-B21,0),0)))-F9)*(IF(D9="Buy",1,IF(D9="Sell",-1,0)))*100*IF(G9="",0,G9)*$F$3</f>
        <v/>
      </c>
      <c r="D21" s="46">
        <f>C21/account_size</f>
        <v/>
      </c>
    </row>
    <row r="22">
      <c r="B22" s="45">
        <f>$C$3*(0.8+4*0.02)</f>
        <v/>
      </c>
      <c r="C22" s="43">
        <f>((IF(C6="Call",MAX(B22-E6,0),IF(C6="Put",MAX(E6-B22,0),0)))-F6)*(IF(D6="Buy",1,IF(D6="Sell",-1,0)))*100*IF(G6="",0,G6)*$F$3+((IF(C7="Call",MAX(B22-E7,0),IF(C7="Put",MAX(E7-B22,0),0)))-F7)*(IF(D7="Buy",1,IF(D7="Sell",-1,0)))*100*IF(G7="",0,G7)*$F$3+((IF(C8="Call",MAX(B22-E8,0),IF(C8="Put",MAX(E8-B22,0),0)))-F8)*(IF(D8="Buy",1,IF(D8="Sell",-1,0)))*100*IF(G8="",0,G8)*$F$3+((IF(C9="Call",MAX(B22-E9,0),IF(C9="Put",MAX(E9-B22,0),0)))-F9)*(IF(D9="Buy",1,IF(D9="Sell",-1,0)))*100*IF(G9="",0,G9)*$F$3</f>
        <v/>
      </c>
      <c r="D22" s="46">
        <f>C22/account_size</f>
        <v/>
      </c>
    </row>
    <row r="23">
      <c r="B23" s="45">
        <f>$C$3*(0.8+5*0.02)</f>
        <v/>
      </c>
      <c r="C23" s="43">
        <f>((IF(C6="Call",MAX(B23-E6,0),IF(C6="Put",MAX(E6-B23,0),0)))-F6)*(IF(D6="Buy",1,IF(D6="Sell",-1,0)))*100*IF(G6="",0,G6)*$F$3+((IF(C7="Call",MAX(B23-E7,0),IF(C7="Put",MAX(E7-B23,0),0)))-F7)*(IF(D7="Buy",1,IF(D7="Sell",-1,0)))*100*IF(G7="",0,G7)*$F$3+((IF(C8="Call",MAX(B23-E8,0),IF(C8="Put",MAX(E8-B23,0),0)))-F8)*(IF(D8="Buy",1,IF(D8="Sell",-1,0)))*100*IF(G8="",0,G8)*$F$3+((IF(C9="Call",MAX(B23-E9,0),IF(C9="Put",MAX(E9-B23,0),0)))-F9)*(IF(D9="Buy",1,IF(D9="Sell",-1,0)))*100*IF(G9="",0,G9)*$F$3</f>
        <v/>
      </c>
      <c r="D23" s="46">
        <f>C23/account_size</f>
        <v/>
      </c>
    </row>
    <row r="24">
      <c r="B24" s="45">
        <f>$C$3*(0.8+6*0.02)</f>
        <v/>
      </c>
      <c r="C24" s="43">
        <f>((IF(C6="Call",MAX(B24-E6,0),IF(C6="Put",MAX(E6-B24,0),0)))-F6)*(IF(D6="Buy",1,IF(D6="Sell",-1,0)))*100*IF(G6="",0,G6)*$F$3+((IF(C7="Call",MAX(B24-E7,0),IF(C7="Put",MAX(E7-B24,0),0)))-F7)*(IF(D7="Buy",1,IF(D7="Sell",-1,0)))*100*IF(G7="",0,G7)*$F$3+((IF(C8="Call",MAX(B24-E8,0),IF(C8="Put",MAX(E8-B24,0),0)))-F8)*(IF(D8="Buy",1,IF(D8="Sell",-1,0)))*100*IF(G8="",0,G8)*$F$3+((IF(C9="Call",MAX(B24-E9,0),IF(C9="Put",MAX(E9-B24,0),0)))-F9)*(IF(D9="Buy",1,IF(D9="Sell",-1,0)))*100*IF(G9="",0,G9)*$F$3</f>
        <v/>
      </c>
      <c r="D24" s="46">
        <f>C24/account_size</f>
        <v/>
      </c>
    </row>
    <row r="25">
      <c r="B25" s="45">
        <f>$C$3*(0.8+7*0.02)</f>
        <v/>
      </c>
      <c r="C25" s="43">
        <f>((IF(C6="Call",MAX(B25-E6,0),IF(C6="Put",MAX(E6-B25,0),0)))-F6)*(IF(D6="Buy",1,IF(D6="Sell",-1,0)))*100*IF(G6="",0,G6)*$F$3+((IF(C7="Call",MAX(B25-E7,0),IF(C7="Put",MAX(E7-B25,0),0)))-F7)*(IF(D7="Buy",1,IF(D7="Sell",-1,0)))*100*IF(G7="",0,G7)*$F$3+((IF(C8="Call",MAX(B25-E8,0),IF(C8="Put",MAX(E8-B25,0),0)))-F8)*(IF(D8="Buy",1,IF(D8="Sell",-1,0)))*100*IF(G8="",0,G8)*$F$3+((IF(C9="Call",MAX(B25-E9,0),IF(C9="Put",MAX(E9-B25,0),0)))-F9)*(IF(D9="Buy",1,IF(D9="Sell",-1,0)))*100*IF(G9="",0,G9)*$F$3</f>
        <v/>
      </c>
      <c r="D25" s="46">
        <f>C25/account_size</f>
        <v/>
      </c>
    </row>
    <row r="26">
      <c r="B26" s="45">
        <f>$C$3*(0.8+8*0.02)</f>
        <v/>
      </c>
      <c r="C26" s="43">
        <f>((IF(C6="Call",MAX(B26-E6,0),IF(C6="Put",MAX(E6-B26,0),0)))-F6)*(IF(D6="Buy",1,IF(D6="Sell",-1,0)))*100*IF(G6="",0,G6)*$F$3+((IF(C7="Call",MAX(B26-E7,0),IF(C7="Put",MAX(E7-B26,0),0)))-F7)*(IF(D7="Buy",1,IF(D7="Sell",-1,0)))*100*IF(G7="",0,G7)*$F$3+((IF(C8="Call",MAX(B26-E8,0),IF(C8="Put",MAX(E8-B26,0),0)))-F8)*(IF(D8="Buy",1,IF(D8="Sell",-1,0)))*100*IF(G8="",0,G8)*$F$3+((IF(C9="Call",MAX(B26-E9,0),IF(C9="Put",MAX(E9-B26,0),0)))-F9)*(IF(D9="Buy",1,IF(D9="Sell",-1,0)))*100*IF(G9="",0,G9)*$F$3</f>
        <v/>
      </c>
      <c r="D26" s="46">
        <f>C26/account_size</f>
        <v/>
      </c>
    </row>
    <row r="27">
      <c r="B27" s="45">
        <f>$C$3*(0.8+9*0.02)</f>
        <v/>
      </c>
      <c r="C27" s="43">
        <f>((IF(C6="Call",MAX(B27-E6,0),IF(C6="Put",MAX(E6-B27,0),0)))-F6)*(IF(D6="Buy",1,IF(D6="Sell",-1,0)))*100*IF(G6="",0,G6)*$F$3+((IF(C7="Call",MAX(B27-E7,0),IF(C7="Put",MAX(E7-B27,0),0)))-F7)*(IF(D7="Buy",1,IF(D7="Sell",-1,0)))*100*IF(G7="",0,G7)*$F$3+((IF(C8="Call",MAX(B27-E8,0),IF(C8="Put",MAX(E8-B27,0),0)))-F8)*(IF(D8="Buy",1,IF(D8="Sell",-1,0)))*100*IF(G8="",0,G8)*$F$3+((IF(C9="Call",MAX(B27-E9,0),IF(C9="Put",MAX(E9-B27,0),0)))-F9)*(IF(D9="Buy",1,IF(D9="Sell",-1,0)))*100*IF(G9="",0,G9)*$F$3</f>
        <v/>
      </c>
      <c r="D27" s="46">
        <f>C27/account_size</f>
        <v/>
      </c>
    </row>
    <row r="28">
      <c r="B28" s="45">
        <f>$C$3*(0.8+10*0.02)</f>
        <v/>
      </c>
      <c r="C28" s="43">
        <f>((IF(C6="Call",MAX(B28-E6,0),IF(C6="Put",MAX(E6-B28,0),0)))-F6)*(IF(D6="Buy",1,IF(D6="Sell",-1,0)))*100*IF(G6="",0,G6)*$F$3+((IF(C7="Call",MAX(B28-E7,0),IF(C7="Put",MAX(E7-B28,0),0)))-F7)*(IF(D7="Buy",1,IF(D7="Sell",-1,0)))*100*IF(G7="",0,G7)*$F$3+((IF(C8="Call",MAX(B28-E8,0),IF(C8="Put",MAX(E8-B28,0),0)))-F8)*(IF(D8="Buy",1,IF(D8="Sell",-1,0)))*100*IF(G8="",0,G8)*$F$3+((IF(C9="Call",MAX(B28-E9,0),IF(C9="Put",MAX(E9-B28,0),0)))-F9)*(IF(D9="Buy",1,IF(D9="Sell",-1,0)))*100*IF(G9="",0,G9)*$F$3</f>
        <v/>
      </c>
      <c r="D28" s="46">
        <f>C28/account_size</f>
        <v/>
      </c>
    </row>
    <row r="29">
      <c r="B29" s="45">
        <f>$C$3*(0.8+11*0.02)</f>
        <v/>
      </c>
      <c r="C29" s="43">
        <f>((IF(C6="Call",MAX(B29-E6,0),IF(C6="Put",MAX(E6-B29,0),0)))-F6)*(IF(D6="Buy",1,IF(D6="Sell",-1,0)))*100*IF(G6="",0,G6)*$F$3+((IF(C7="Call",MAX(B29-E7,0),IF(C7="Put",MAX(E7-B29,0),0)))-F7)*(IF(D7="Buy",1,IF(D7="Sell",-1,0)))*100*IF(G7="",0,G7)*$F$3+((IF(C8="Call",MAX(B29-E8,0),IF(C8="Put",MAX(E8-B29,0),0)))-F8)*(IF(D8="Buy",1,IF(D8="Sell",-1,0)))*100*IF(G8="",0,G8)*$F$3+((IF(C9="Call",MAX(B29-E9,0),IF(C9="Put",MAX(E9-B29,0),0)))-F9)*(IF(D9="Buy",1,IF(D9="Sell",-1,0)))*100*IF(G9="",0,G9)*$F$3</f>
        <v/>
      </c>
      <c r="D29" s="46">
        <f>C29/account_size</f>
        <v/>
      </c>
    </row>
    <row r="30">
      <c r="B30" s="45">
        <f>$C$3*(0.8+12*0.02)</f>
        <v/>
      </c>
      <c r="C30" s="43">
        <f>((IF(C6="Call",MAX(B30-E6,0),IF(C6="Put",MAX(E6-B30,0),0)))-F6)*(IF(D6="Buy",1,IF(D6="Sell",-1,0)))*100*IF(G6="",0,G6)*$F$3+((IF(C7="Call",MAX(B30-E7,0),IF(C7="Put",MAX(E7-B30,0),0)))-F7)*(IF(D7="Buy",1,IF(D7="Sell",-1,0)))*100*IF(G7="",0,G7)*$F$3+((IF(C8="Call",MAX(B30-E8,0),IF(C8="Put",MAX(E8-B30,0),0)))-F8)*(IF(D8="Buy",1,IF(D8="Sell",-1,0)))*100*IF(G8="",0,G8)*$F$3+((IF(C9="Call",MAX(B30-E9,0),IF(C9="Put",MAX(E9-B30,0),0)))-F9)*(IF(D9="Buy",1,IF(D9="Sell",-1,0)))*100*IF(G9="",0,G9)*$F$3</f>
        <v/>
      </c>
      <c r="D30" s="46">
        <f>C30/account_size</f>
        <v/>
      </c>
    </row>
    <row r="31">
      <c r="B31" s="45">
        <f>$C$3*(0.8+13*0.02)</f>
        <v/>
      </c>
      <c r="C31" s="43">
        <f>((IF(C6="Call",MAX(B31-E6,0),IF(C6="Put",MAX(E6-B31,0),0)))-F6)*(IF(D6="Buy",1,IF(D6="Sell",-1,0)))*100*IF(G6="",0,G6)*$F$3+((IF(C7="Call",MAX(B31-E7,0),IF(C7="Put",MAX(E7-B31,0),0)))-F7)*(IF(D7="Buy",1,IF(D7="Sell",-1,0)))*100*IF(G7="",0,G7)*$F$3+((IF(C8="Call",MAX(B31-E8,0),IF(C8="Put",MAX(E8-B31,0),0)))-F8)*(IF(D8="Buy",1,IF(D8="Sell",-1,0)))*100*IF(G8="",0,G8)*$F$3+((IF(C9="Call",MAX(B31-E9,0),IF(C9="Put",MAX(E9-B31,0),0)))-F9)*(IF(D9="Buy",1,IF(D9="Sell",-1,0)))*100*IF(G9="",0,G9)*$F$3</f>
        <v/>
      </c>
      <c r="D31" s="46">
        <f>C31/account_size</f>
        <v/>
      </c>
    </row>
    <row r="32">
      <c r="B32" s="45">
        <f>$C$3*(0.8+14*0.02)</f>
        <v/>
      </c>
      <c r="C32" s="43">
        <f>((IF(C6="Call",MAX(B32-E6,0),IF(C6="Put",MAX(E6-B32,0),0)))-F6)*(IF(D6="Buy",1,IF(D6="Sell",-1,0)))*100*IF(G6="",0,G6)*$F$3+((IF(C7="Call",MAX(B32-E7,0),IF(C7="Put",MAX(E7-B32,0),0)))-F7)*(IF(D7="Buy",1,IF(D7="Sell",-1,0)))*100*IF(G7="",0,G7)*$F$3+((IF(C8="Call",MAX(B32-E8,0),IF(C8="Put",MAX(E8-B32,0),0)))-F8)*(IF(D8="Buy",1,IF(D8="Sell",-1,0)))*100*IF(G8="",0,G8)*$F$3+((IF(C9="Call",MAX(B32-E9,0),IF(C9="Put",MAX(E9-B32,0),0)))-F9)*(IF(D9="Buy",1,IF(D9="Sell",-1,0)))*100*IF(G9="",0,G9)*$F$3</f>
        <v/>
      </c>
      <c r="D32" s="46">
        <f>C32/account_size</f>
        <v/>
      </c>
    </row>
    <row r="33">
      <c r="B33" s="45">
        <f>$C$3*(0.8+15*0.02)</f>
        <v/>
      </c>
      <c r="C33" s="43">
        <f>((IF(C6="Call",MAX(B33-E6,0),IF(C6="Put",MAX(E6-B33,0),0)))-F6)*(IF(D6="Buy",1,IF(D6="Sell",-1,0)))*100*IF(G6="",0,G6)*$F$3+((IF(C7="Call",MAX(B33-E7,0),IF(C7="Put",MAX(E7-B33,0),0)))-F7)*(IF(D7="Buy",1,IF(D7="Sell",-1,0)))*100*IF(G7="",0,G7)*$F$3+((IF(C8="Call",MAX(B33-E8,0),IF(C8="Put",MAX(E8-B33,0),0)))-F8)*(IF(D8="Buy",1,IF(D8="Sell",-1,0)))*100*IF(G8="",0,G8)*$F$3+((IF(C9="Call",MAX(B33-E9,0),IF(C9="Put",MAX(E9-B33,0),0)))-F9)*(IF(D9="Buy",1,IF(D9="Sell",-1,0)))*100*IF(G9="",0,G9)*$F$3</f>
        <v/>
      </c>
      <c r="D33" s="46">
        <f>C33/account_size</f>
        <v/>
      </c>
    </row>
    <row r="34">
      <c r="B34" s="45">
        <f>$C$3*(0.8+16*0.02)</f>
        <v/>
      </c>
      <c r="C34" s="43">
        <f>((IF(C6="Call",MAX(B34-E6,0),IF(C6="Put",MAX(E6-B34,0),0)))-F6)*(IF(D6="Buy",1,IF(D6="Sell",-1,0)))*100*IF(G6="",0,G6)*$F$3+((IF(C7="Call",MAX(B34-E7,0),IF(C7="Put",MAX(E7-B34,0),0)))-F7)*(IF(D7="Buy",1,IF(D7="Sell",-1,0)))*100*IF(G7="",0,G7)*$F$3+((IF(C8="Call",MAX(B34-E8,0),IF(C8="Put",MAX(E8-B34,0),0)))-F8)*(IF(D8="Buy",1,IF(D8="Sell",-1,0)))*100*IF(G8="",0,G8)*$F$3+((IF(C9="Call",MAX(B34-E9,0),IF(C9="Put",MAX(E9-B34,0),0)))-F9)*(IF(D9="Buy",1,IF(D9="Sell",-1,0)))*100*IF(G9="",0,G9)*$F$3</f>
        <v/>
      </c>
      <c r="D34" s="46">
        <f>C34/account_size</f>
        <v/>
      </c>
    </row>
    <row r="35">
      <c r="B35" s="45">
        <f>$C$3*(0.8+17*0.02)</f>
        <v/>
      </c>
      <c r="C35" s="43">
        <f>((IF(C6="Call",MAX(B35-E6,0),IF(C6="Put",MAX(E6-B35,0),0)))-F6)*(IF(D6="Buy",1,IF(D6="Sell",-1,0)))*100*IF(G6="",0,G6)*$F$3+((IF(C7="Call",MAX(B35-E7,0),IF(C7="Put",MAX(E7-B35,0),0)))-F7)*(IF(D7="Buy",1,IF(D7="Sell",-1,0)))*100*IF(G7="",0,G7)*$F$3+((IF(C8="Call",MAX(B35-E8,0),IF(C8="Put",MAX(E8-B35,0),0)))-F8)*(IF(D8="Buy",1,IF(D8="Sell",-1,0)))*100*IF(G8="",0,G8)*$F$3+((IF(C9="Call",MAX(B35-E9,0),IF(C9="Put",MAX(E9-B35,0),0)))-F9)*(IF(D9="Buy",1,IF(D9="Sell",-1,0)))*100*IF(G9="",0,G9)*$F$3</f>
        <v/>
      </c>
      <c r="D35" s="46">
        <f>C35/account_size</f>
        <v/>
      </c>
    </row>
    <row r="36">
      <c r="B36" s="45">
        <f>$C$3*(0.8+18*0.02)</f>
        <v/>
      </c>
      <c r="C36" s="43">
        <f>((IF(C6="Call",MAX(B36-E6,0),IF(C6="Put",MAX(E6-B36,0),0)))-F6)*(IF(D6="Buy",1,IF(D6="Sell",-1,0)))*100*IF(G6="",0,G6)*$F$3+((IF(C7="Call",MAX(B36-E7,0),IF(C7="Put",MAX(E7-B36,0),0)))-F7)*(IF(D7="Buy",1,IF(D7="Sell",-1,0)))*100*IF(G7="",0,G7)*$F$3+((IF(C8="Call",MAX(B36-E8,0),IF(C8="Put",MAX(E8-B36,0),0)))-F8)*(IF(D8="Buy",1,IF(D8="Sell",-1,0)))*100*IF(G8="",0,G8)*$F$3+((IF(C9="Call",MAX(B36-E9,0),IF(C9="Put",MAX(E9-B36,0),0)))-F9)*(IF(D9="Buy",1,IF(D9="Sell",-1,0)))*100*IF(G9="",0,G9)*$F$3</f>
        <v/>
      </c>
      <c r="D36" s="46">
        <f>C36/account_size</f>
        <v/>
      </c>
    </row>
    <row r="37">
      <c r="B37" s="45">
        <f>$C$3*(0.8+19*0.02)</f>
        <v/>
      </c>
      <c r="C37" s="43">
        <f>((IF(C6="Call",MAX(B37-E6,0),IF(C6="Put",MAX(E6-B37,0),0)))-F6)*(IF(D6="Buy",1,IF(D6="Sell",-1,0)))*100*IF(G6="",0,G6)*$F$3+((IF(C7="Call",MAX(B37-E7,0),IF(C7="Put",MAX(E7-B37,0),0)))-F7)*(IF(D7="Buy",1,IF(D7="Sell",-1,0)))*100*IF(G7="",0,G7)*$F$3+((IF(C8="Call",MAX(B37-E8,0),IF(C8="Put",MAX(E8-B37,0),0)))-F8)*(IF(D8="Buy",1,IF(D8="Sell",-1,0)))*100*IF(G8="",0,G8)*$F$3+((IF(C9="Call",MAX(B37-E9,0),IF(C9="Put",MAX(E9-B37,0),0)))-F9)*(IF(D9="Buy",1,IF(D9="Sell",-1,0)))*100*IF(G9="",0,G9)*$F$3</f>
        <v/>
      </c>
      <c r="D37" s="46">
        <f>C37/account_size</f>
        <v/>
      </c>
    </row>
    <row r="38">
      <c r="B38" s="45">
        <f>$C$3*(0.8+20*0.02)</f>
        <v/>
      </c>
      <c r="C38" s="43">
        <f>((IF(C6="Call",MAX(B38-E6,0),IF(C6="Put",MAX(E6-B38,0),0)))-F6)*(IF(D6="Buy",1,IF(D6="Sell",-1,0)))*100*IF(G6="",0,G6)*$F$3+((IF(C7="Call",MAX(B38-E7,0),IF(C7="Put",MAX(E7-B38,0),0)))-F7)*(IF(D7="Buy",1,IF(D7="Sell",-1,0)))*100*IF(G7="",0,G7)*$F$3+((IF(C8="Call",MAX(B38-E8,0),IF(C8="Put",MAX(E8-B38,0),0)))-F8)*(IF(D8="Buy",1,IF(D8="Sell",-1,0)))*100*IF(G8="",0,G8)*$F$3+((IF(C9="Call",MAX(B38-E9,0),IF(C9="Put",MAX(E9-B38,0),0)))-F9)*(IF(D9="Buy",1,IF(D9="Sell",-1,0)))*100*IF(G9="",0,G9)*$F$3</f>
        <v/>
      </c>
      <c r="D38" s="46">
        <f>C38/account_size</f>
        <v/>
      </c>
    </row>
    <row r="41">
      <c r="B41" s="47" t="inlineStr">
        <is>
          <t>Strategy templates (overwrite legs above to use):</t>
        </is>
      </c>
    </row>
    <row r="42" ht="15" customHeight="1" s="65">
      <c r="B42" s="48" t="inlineStr">
        <is>
          <t>Long Call</t>
        </is>
      </c>
      <c r="C42" s="66" t="inlineStr">
        <is>
          <t>Leg1: Call/Buy/strike=ATM/premium=mkt. Bullish, defined risk = premium paid.</t>
        </is>
      </c>
    </row>
    <row r="43" ht="15" customHeight="1" s="65">
      <c r="B43" s="48" t="inlineStr">
        <is>
          <t>Long Put</t>
        </is>
      </c>
      <c r="C43" s="66" t="inlineStr">
        <is>
          <t>Leg1: Put/Buy/strike=ATM/premium=mkt. Bearish, defined risk = premium paid.</t>
        </is>
      </c>
    </row>
    <row r="44" ht="15" customHeight="1" s="65">
      <c r="B44" s="48" t="inlineStr">
        <is>
          <t>Bull Call Spread</t>
        </is>
      </c>
      <c r="C44" s="66" t="inlineStr">
        <is>
          <t>Leg1: Call/Buy/lower-K. Leg2: Call/Sell/higher-K. Defined risk + capped reward.</t>
        </is>
      </c>
    </row>
    <row r="45" ht="15" customHeight="1" s="65">
      <c r="B45" s="48" t="inlineStr">
        <is>
          <t>Bear Put Spread</t>
        </is>
      </c>
      <c r="C45" s="66" t="inlineStr">
        <is>
          <t>Leg1: Put/Buy/higher-K. Leg2: Put/Sell/lower-K. Defined risk + capped reward.</t>
        </is>
      </c>
    </row>
    <row r="46" ht="15" customHeight="1" s="65">
      <c r="B46" s="48" t="inlineStr">
        <is>
          <t>Iron Condor</t>
        </is>
      </c>
      <c r="C46" s="66" t="inlineStr">
        <is>
          <t>Sell OTM put, Buy further-OTM put, Sell OTM call, Buy further-OTM call. Range-bound.</t>
        </is>
      </c>
    </row>
    <row r="47" ht="15" customHeight="1" s="65">
      <c r="B47" s="48" t="inlineStr">
        <is>
          <t>Cash-Secured Put</t>
        </is>
      </c>
      <c r="C47" s="66" t="inlineStr">
        <is>
          <t>Leg1: Put/Sell/strike below price. Collateral = strike×100. Need ~$strike×100 cash.</t>
        </is>
      </c>
    </row>
    <row r="48" ht="15" customHeight="1" s="65">
      <c r="B48" s="48" t="inlineStr">
        <is>
          <t>Covered Call</t>
        </is>
      </c>
      <c r="C48" s="66" t="inlineStr">
        <is>
          <t>Need 100 shares of underlying first. Leg1: Call/Sell/above cost basis.</t>
        </is>
      </c>
    </row>
    <row r="49" ht="15" customHeight="1" s="65">
      <c r="B49" s="48" t="inlineStr">
        <is>
          <t>Long Straddle</t>
        </is>
      </c>
      <c r="C49" s="66" t="inlineStr">
        <is>
          <t>Leg1: Call/Buy/ATM. Leg2: Put/Buy/ATM. Bets on big move either direction.</t>
        </is>
      </c>
    </row>
  </sheetData>
  <mergeCells count="10">
    <mergeCell ref="C45:I45"/>
    <mergeCell ref="C44:I44"/>
    <mergeCell ref="C48:I48"/>
    <mergeCell ref="B11:I11"/>
    <mergeCell ref="C49:I49"/>
    <mergeCell ref="C43:I43"/>
    <mergeCell ref="C46:I46"/>
    <mergeCell ref="C47:I47"/>
    <mergeCell ref="C42:I42"/>
    <mergeCell ref="B1:I1"/>
  </mergeCells>
  <conditionalFormatting sqref="C18:C38">
    <cfRule type="cellIs" priority="2" operator="greaterThan" dxfId="1">
      <formula>0</formula>
    </cfRule>
    <cfRule type="cellIs" priority="3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="150" zoomScaleNormal="100" workbookViewId="0">
      <selection activeCell="D5" sqref="D5"/>
    </sheetView>
  </sheetViews>
  <sheetFormatPr baseColWidth="10" defaultColWidth="8.6640625" defaultRowHeight="15"/>
  <cols>
    <col width="28" customWidth="1" style="65" min="1" max="1"/>
    <col width="21.33203125" customWidth="1" style="65" min="2" max="2"/>
    <col width="22.5" customWidth="1" style="65" min="3" max="4"/>
    <col width="18" customWidth="1" style="65" min="5" max="5"/>
    <col width="28" customWidth="1" style="65" min="6" max="6"/>
  </cols>
  <sheetData>
    <row r="1" ht="20" customHeight="1" s="65">
      <c r="A1" s="64" t="inlineStr">
        <is>
          <t>Position Sizer — Don't Blow Up Your Account</t>
        </is>
      </c>
    </row>
    <row r="3">
      <c r="A3" s="28" t="inlineStr">
        <is>
          <t>Account size ($)</t>
        </is>
      </c>
      <c r="B3" s="49">
        <f>account_size</f>
        <v/>
      </c>
    </row>
    <row r="4">
      <c r="A4" s="28" t="inlineStr">
        <is>
          <t>Max risk per trade (%)</t>
        </is>
      </c>
      <c r="B4" s="50">
        <f>risk_pct</f>
        <v/>
      </c>
    </row>
    <row r="5">
      <c r="A5" s="28" t="inlineStr">
        <is>
          <t>Max risk per trade ($)</t>
        </is>
      </c>
      <c r="B5" s="43">
        <f>B3*B4</f>
        <v/>
      </c>
    </row>
    <row r="7">
      <c r="A7" s="5" t="inlineStr">
        <is>
          <t>Option Premium ($)</t>
        </is>
      </c>
      <c r="B7" s="5" t="inlineStr">
        <is>
          <t>Cost per Contract ($)</t>
        </is>
      </c>
      <c r="C7" s="5" t="inlineStr">
        <is>
          <t>Max Contracts (whole)</t>
        </is>
      </c>
      <c r="D7" s="5" t="inlineStr">
        <is>
          <t>Total Capital Used ($)</t>
        </is>
      </c>
      <c r="E7" s="5" t="inlineStr">
        <is>
          <t>% of Account</t>
        </is>
      </c>
      <c r="F7" s="5" t="inlineStr">
        <is>
          <t>Notes</t>
        </is>
      </c>
    </row>
    <row r="8">
      <c r="A8" s="51" t="n">
        <v>0.05</v>
      </c>
      <c r="B8" s="51">
        <f>A8*100</f>
        <v/>
      </c>
      <c r="C8" s="52">
        <f>IFERROR(INT($B$5/B8),0)</f>
        <v/>
      </c>
      <c r="D8" s="51">
        <f>B8*C8</f>
        <v/>
      </c>
      <c r="E8" s="53">
        <f>IFERROR(D8/$B$3,0)</f>
        <v/>
      </c>
      <c r="F8" s="3" t="inlineStr">
        <is>
          <t>Cheap weekly OTM — common 'lottery' premium</t>
        </is>
      </c>
    </row>
    <row r="9">
      <c r="A9" s="54" t="n">
        <v>0.1</v>
      </c>
      <c r="B9" s="54">
        <f>A9*100</f>
        <v/>
      </c>
      <c r="C9" s="55">
        <f>IFERROR(INT($B$5/B9),0)</f>
        <v/>
      </c>
      <c r="D9" s="54">
        <f>B9*C9</f>
        <v/>
      </c>
      <c r="E9" s="56">
        <f>IFERROR(D9/$B$3,0)</f>
        <v/>
      </c>
      <c r="F9" s="57" t="inlineStr">
        <is>
          <t>Cheap weekly OTM — common 'lottery' premium</t>
        </is>
      </c>
    </row>
    <row r="10">
      <c r="A10" s="51" t="n">
        <v>0.25</v>
      </c>
      <c r="B10" s="51">
        <f>A10*100</f>
        <v/>
      </c>
      <c r="C10" s="52">
        <f>IFERROR(INT($B$5/B10),0)</f>
        <v/>
      </c>
      <c r="D10" s="51">
        <f>B10*C10</f>
        <v/>
      </c>
      <c r="E10" s="53">
        <f>IFERROR(D10/$B$3,0)</f>
        <v/>
      </c>
      <c r="F10" s="3" t="inlineStr">
        <is>
          <t>Typical for OTM weekly calls/puts on low-priced names</t>
        </is>
      </c>
    </row>
    <row r="11">
      <c r="A11" s="54" t="n">
        <v>0.5</v>
      </c>
      <c r="B11" s="54">
        <f>A11*100</f>
        <v/>
      </c>
      <c r="C11" s="55">
        <f>IFERROR(INT($B$5/B11),0)</f>
        <v/>
      </c>
      <c r="D11" s="54">
        <f>B11*C11</f>
        <v/>
      </c>
      <c r="E11" s="56">
        <f>IFERROR(D11/$B$3,0)</f>
        <v/>
      </c>
      <c r="F11" s="57" t="inlineStr">
        <is>
          <t>Typical for OTM weekly calls/puts on low-priced names</t>
        </is>
      </c>
    </row>
    <row r="12">
      <c r="A12" s="51" t="n">
        <v>0.75</v>
      </c>
      <c r="B12" s="51">
        <f>A12*100</f>
        <v/>
      </c>
      <c r="C12" s="52">
        <f>IFERROR(INT($B$5/B12),0)</f>
        <v/>
      </c>
      <c r="D12" s="51">
        <f>B12*C12</f>
        <v/>
      </c>
      <c r="E12" s="53">
        <f>IFERROR(D12/$B$3,0)</f>
        <v/>
      </c>
      <c r="F12" s="3" t="inlineStr">
        <is>
          <t>Near-the-money short-dated</t>
        </is>
      </c>
    </row>
    <row r="13">
      <c r="A13" s="54" t="n">
        <v>1</v>
      </c>
      <c r="B13" s="54">
        <f>A13*100</f>
        <v/>
      </c>
      <c r="C13" s="55">
        <f>IFERROR(INT($B$5/B13),0)</f>
        <v/>
      </c>
      <c r="D13" s="54">
        <f>B13*C13</f>
        <v/>
      </c>
      <c r="E13" s="56">
        <f>IFERROR(D13/$B$3,0)</f>
        <v/>
      </c>
      <c r="F13" s="57" t="inlineStr">
        <is>
          <t>Near-the-money short-dated</t>
        </is>
      </c>
    </row>
    <row r="14">
      <c r="A14" s="51" t="n">
        <v>1.5</v>
      </c>
      <c r="B14" s="51">
        <f>A14*100</f>
        <v/>
      </c>
      <c r="C14" s="52">
        <f>IFERROR(INT($B$5/B14),0)</f>
        <v/>
      </c>
      <c r="D14" s="51">
        <f>B14*C14</f>
        <v/>
      </c>
      <c r="E14" s="53">
        <f>IFERROR(D14/$B$3,0)</f>
        <v/>
      </c>
      <c r="F14" s="3" t="inlineStr">
        <is>
          <t>Near-the-money short-dated</t>
        </is>
      </c>
    </row>
    <row r="15">
      <c r="A15" s="54" t="n">
        <v>2</v>
      </c>
      <c r="B15" s="54">
        <f>A15*100</f>
        <v/>
      </c>
      <c r="C15" s="55">
        <f>IFERROR(INT($B$5/B15),0)</f>
        <v/>
      </c>
      <c r="D15" s="54">
        <f>B15*C15</f>
        <v/>
      </c>
      <c r="E15" s="56">
        <f>IFERROR(D15/$B$3,0)</f>
        <v/>
      </c>
      <c r="F15" s="57" t="inlineStr">
        <is>
          <t>Near-the-money short-dated</t>
        </is>
      </c>
    </row>
    <row r="16">
      <c r="A16" s="51" t="n">
        <v>3</v>
      </c>
      <c r="B16" s="51">
        <f>A16*100</f>
        <v/>
      </c>
      <c r="C16" s="52">
        <f>IFERROR(INT($B$5/B16),0)</f>
        <v/>
      </c>
      <c r="D16" s="51">
        <f>B16*C16</f>
        <v/>
      </c>
      <c r="E16" s="53">
        <f>IFERROR(D16/$B$3,0)</f>
        <v/>
      </c>
      <c r="F16" s="3" t="inlineStr">
        <is>
          <t>ITM or longer-dated — consumes more buying power</t>
        </is>
      </c>
    </row>
    <row r="17">
      <c r="A17" s="54" t="n">
        <v>5</v>
      </c>
      <c r="B17" s="54">
        <f>A17*100</f>
        <v/>
      </c>
      <c r="C17" s="55">
        <f>IFERROR(INT($B$5/B17),0)</f>
        <v/>
      </c>
      <c r="D17" s="54">
        <f>B17*C17</f>
        <v/>
      </c>
      <c r="E17" s="56">
        <f>IFERROR(D17/$B$3,0)</f>
        <v/>
      </c>
      <c r="F17" s="57" t="inlineStr">
        <is>
          <t>ITM or longer-dated — consumes more buying power</t>
        </is>
      </c>
    </row>
    <row r="18">
      <c r="A18" s="51" t="n">
        <v>7.5</v>
      </c>
      <c r="B18" s="51">
        <f>A18*100</f>
        <v/>
      </c>
      <c r="C18" s="52">
        <f>IFERROR(INT($B$5/B18),0)</f>
        <v/>
      </c>
      <c r="D18" s="51">
        <f>B18*C18</f>
        <v/>
      </c>
      <c r="E18" s="53">
        <f>IFERROR(D18/$B$3,0)</f>
        <v/>
      </c>
      <c r="F18" s="3" t="inlineStr">
        <is>
          <t>ITM or longer-dated — consumes more buying power</t>
        </is>
      </c>
    </row>
    <row r="19">
      <c r="A19" s="54" t="n">
        <v>10</v>
      </c>
      <c r="B19" s="54">
        <f>A19*100</f>
        <v/>
      </c>
      <c r="C19" s="55">
        <f>IFERROR(INT($B$5/B19),0)</f>
        <v/>
      </c>
      <c r="D19" s="54">
        <f>B19*C19</f>
        <v/>
      </c>
      <c r="E19" s="56">
        <f>IFERROR(D19/$B$3,0)</f>
        <v/>
      </c>
      <c r="F19" s="57" t="inlineStr">
        <is>
          <t>ITM or longer-dated — consumes more buying power</t>
        </is>
      </c>
    </row>
    <row r="22" ht="16" customHeight="1" s="65">
      <c r="A22" s="71" t="inlineStr">
        <is>
          <t>⚠ Position Sizing Discipline</t>
        </is>
      </c>
    </row>
    <row r="23" ht="30" customHeight="1" s="65">
      <c r="A23" s="70" t="inlineStr">
        <is>
          <t>• On a $1k account with 5% max risk per trade ($50), you can buy 1 contract at ≤$0.50 premium without exceeding sizing rules.</t>
        </is>
      </c>
    </row>
    <row r="24" ht="30" customHeight="1" s="65">
      <c r="A24" s="70" t="inlineStr">
        <is>
          <t>• If a trade idea requires more contracts than the table allows, the trade is too big for your account — pass on it.</t>
        </is>
      </c>
    </row>
    <row r="25" ht="30" customHeight="1" s="65">
      <c r="A25" s="70" t="inlineStr">
        <is>
          <t>• The 1–5% rule exists because ~50% of trades lose money even for skilled traders. With 2% risk per trade, it takes 50 consecutive losers to wipe out — survivable. With 50% risk per trade, it takes 2.</t>
        </is>
      </c>
    </row>
    <row r="26" ht="30" customHeight="1" s="65">
      <c r="A26" s="70" t="inlineStr">
        <is>
          <t>• Resist the urge to 'go bigger to get back to even' after a loss. That's the mathematical path to zero.</t>
        </is>
      </c>
    </row>
  </sheetData>
  <mergeCells count="6">
    <mergeCell ref="A24:F24"/>
    <mergeCell ref="A1:F1"/>
    <mergeCell ref="A23:F23"/>
    <mergeCell ref="A22:F22"/>
    <mergeCell ref="A26:F26"/>
    <mergeCell ref="A25:F25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:M1"/>
    </sheetView>
  </sheetViews>
  <sheetFormatPr baseColWidth="10" defaultColWidth="8.6640625" defaultRowHeight="15"/>
  <cols>
    <col width="12" customWidth="1" style="65" min="1" max="1"/>
    <col width="14" customWidth="1" style="65" min="2" max="2"/>
    <col width="22" customWidth="1" style="65" min="3" max="3"/>
    <col width="12" customWidth="1" style="65" min="4" max="5"/>
    <col width="14" customWidth="1" style="65" min="6" max="11"/>
    <col width="12" customWidth="1" style="65" min="12" max="12"/>
    <col width="30" customWidth="1" style="65" min="13" max="13"/>
  </cols>
  <sheetData>
    <row r="1" ht="20" customHeight="1" s="65">
      <c r="A1" s="64" t="inlineStr">
        <is>
          <t>Open Positions Tracker</t>
        </is>
      </c>
    </row>
    <row r="3">
      <c r="A3" s="5" t="inlineStr">
        <is>
          <t>Open Date</t>
        </is>
      </c>
      <c r="B3" s="5" t="inlineStr">
        <is>
          <t>Underlying</t>
        </is>
      </c>
      <c r="C3" s="5" t="inlineStr">
        <is>
          <t>Option Ticker</t>
        </is>
      </c>
      <c r="D3" s="5" t="inlineStr">
        <is>
          <t>Type</t>
        </is>
      </c>
      <c r="E3" s="5" t="inlineStr">
        <is>
          <t>Action</t>
        </is>
      </c>
      <c r="F3" s="5" t="inlineStr">
        <is>
          <t>Strike</t>
        </is>
      </c>
      <c r="G3" s="5" t="inlineStr">
        <is>
          <t>Expiry</t>
        </is>
      </c>
      <c r="H3" s="5" t="inlineStr">
        <is>
          <t>Entry Px</t>
        </is>
      </c>
      <c r="I3" s="5" t="inlineStr">
        <is>
          <t>Mark</t>
        </is>
      </c>
      <c r="J3" s="5" t="inlineStr">
        <is>
          <t>Qty</t>
        </is>
      </c>
      <c r="K3" s="5" t="inlineStr">
        <is>
          <t>Cost Basis</t>
        </is>
      </c>
      <c r="L3" s="5" t="inlineStr">
        <is>
          <t>Current P&amp;L</t>
        </is>
      </c>
      <c r="M3" s="5" t="inlineStr">
        <is>
          <t>Notes</t>
        </is>
      </c>
    </row>
    <row r="4">
      <c r="A4" s="58" t="n"/>
      <c r="B4" s="40" t="n"/>
      <c r="C4" s="40" t="n"/>
      <c r="D4" s="40" t="n"/>
      <c r="E4" s="40" t="n"/>
      <c r="F4" s="59" t="n"/>
      <c r="G4" s="58" t="n"/>
      <c r="H4" s="59" t="n"/>
      <c r="I4" s="60" t="n"/>
      <c r="J4" s="40" t="n"/>
      <c r="K4" s="43">
        <f>IFERROR(IF(E4="Buy",H4*100*J4,IF(E4="Sell",-H4*100*J4,0)),0)</f>
        <v/>
      </c>
      <c r="L4" s="43">
        <f>IFERROR(IF(E4="Buy",(I4-H4)*100*J4,IF(E4="Sell",(H4-I4)*100*J4,0)),0)</f>
        <v/>
      </c>
      <c r="M4" s="40" t="n"/>
    </row>
    <row r="5">
      <c r="A5" s="58" t="n"/>
      <c r="B5" s="40" t="n"/>
      <c r="C5" s="40" t="n"/>
      <c r="D5" s="40" t="n"/>
      <c r="E5" s="40" t="n"/>
      <c r="F5" s="59" t="n"/>
      <c r="G5" s="58" t="n"/>
      <c r="H5" s="59" t="n"/>
      <c r="I5" s="60" t="n"/>
      <c r="J5" s="40" t="n"/>
      <c r="K5" s="43">
        <f>IFERROR(IF(E5="Buy",H5*100*J5,IF(E5="Sell",-H5*100*J5,0)),0)</f>
        <v/>
      </c>
      <c r="L5" s="43">
        <f>IFERROR(IF(E5="Buy",(I5-H5)*100*J5,IF(E5="Sell",(H5-I5)*100*J5,0)),0)</f>
        <v/>
      </c>
      <c r="M5" s="40" t="n"/>
    </row>
    <row r="6">
      <c r="A6" s="58" t="n"/>
      <c r="B6" s="40" t="n"/>
      <c r="C6" s="40" t="n"/>
      <c r="D6" s="40" t="n"/>
      <c r="E6" s="40" t="n"/>
      <c r="F6" s="59" t="n"/>
      <c r="G6" s="58" t="n"/>
      <c r="H6" s="59" t="n"/>
      <c r="I6" s="60" t="n"/>
      <c r="J6" s="40" t="n"/>
      <c r="K6" s="43">
        <f>IFERROR(IF(E6="Buy",H6*100*J6,IF(E6="Sell",-H6*100*J6,0)),0)</f>
        <v/>
      </c>
      <c r="L6" s="43">
        <f>IFERROR(IF(E6="Buy",(I6-H6)*100*J6,IF(E6="Sell",(H6-I6)*100*J6,0)),0)</f>
        <v/>
      </c>
      <c r="M6" s="40" t="n"/>
    </row>
    <row r="7">
      <c r="A7" s="58" t="n"/>
      <c r="B7" s="40" t="n"/>
      <c r="C7" s="40" t="n"/>
      <c r="D7" s="40" t="n"/>
      <c r="E7" s="40" t="n"/>
      <c r="F7" s="59" t="n"/>
      <c r="G7" s="58" t="n"/>
      <c r="H7" s="59" t="n"/>
      <c r="I7" s="60" t="n"/>
      <c r="J7" s="40" t="n"/>
      <c r="K7" s="43">
        <f>IFERROR(IF(E7="Buy",H7*100*J7,IF(E7="Sell",-H7*100*J7,0)),0)</f>
        <v/>
      </c>
      <c r="L7" s="43">
        <f>IFERROR(IF(E7="Buy",(I7-H7)*100*J7,IF(E7="Sell",(H7-I7)*100*J7,0)),0)</f>
        <v/>
      </c>
      <c r="M7" s="40" t="n"/>
    </row>
    <row r="8">
      <c r="A8" s="58" t="n"/>
      <c r="B8" s="40" t="n"/>
      <c r="C8" s="40" t="n"/>
      <c r="D8" s="40" t="n"/>
      <c r="E8" s="40" t="n"/>
      <c r="F8" s="59" t="n"/>
      <c r="G8" s="58" t="n"/>
      <c r="H8" s="59" t="n"/>
      <c r="I8" s="60" t="n"/>
      <c r="J8" s="40" t="n"/>
      <c r="K8" s="43">
        <f>IFERROR(IF(E8="Buy",H8*100*J8,IF(E8="Sell",-H8*100*J8,0)),0)</f>
        <v/>
      </c>
      <c r="L8" s="43">
        <f>IFERROR(IF(E8="Buy",(I8-H8)*100*J8,IF(E8="Sell",(H8-I8)*100*J8,0)),0)</f>
        <v/>
      </c>
      <c r="M8" s="40" t="n"/>
    </row>
    <row r="9">
      <c r="A9" s="58" t="n"/>
      <c r="B9" s="40" t="n"/>
      <c r="C9" s="40" t="n"/>
      <c r="D9" s="40" t="n"/>
      <c r="E9" s="40" t="n"/>
      <c r="F9" s="59" t="n"/>
      <c r="G9" s="58" t="n"/>
      <c r="H9" s="59" t="n"/>
      <c r="I9" s="60" t="n"/>
      <c r="J9" s="40" t="n"/>
      <c r="K9" s="43">
        <f>IFERROR(IF(E9="Buy",H9*100*J9,IF(E9="Sell",-H9*100*J9,0)),0)</f>
        <v/>
      </c>
      <c r="L9" s="43">
        <f>IFERROR(IF(E9="Buy",(I9-H9)*100*J9,IF(E9="Sell",(H9-I9)*100*J9,0)),0)</f>
        <v/>
      </c>
      <c r="M9" s="40" t="n"/>
    </row>
    <row r="10">
      <c r="A10" s="58" t="n"/>
      <c r="B10" s="40" t="n"/>
      <c r="C10" s="40" t="n"/>
      <c r="D10" s="40" t="n"/>
      <c r="E10" s="40" t="n"/>
      <c r="F10" s="59" t="n"/>
      <c r="G10" s="58" t="n"/>
      <c r="H10" s="59" t="n"/>
      <c r="I10" s="60" t="n"/>
      <c r="J10" s="40" t="n"/>
      <c r="K10" s="43">
        <f>IFERROR(IF(E10="Buy",H10*100*J10,IF(E10="Sell",-H10*100*J10,0)),0)</f>
        <v/>
      </c>
      <c r="L10" s="43">
        <f>IFERROR(IF(E10="Buy",(I10-H10)*100*J10,IF(E10="Sell",(H10-I10)*100*J10,0)),0)</f>
        <v/>
      </c>
      <c r="M10" s="40" t="n"/>
    </row>
    <row r="11">
      <c r="A11" s="58" t="n"/>
      <c r="B11" s="40" t="n"/>
      <c r="C11" s="40" t="n"/>
      <c r="D11" s="40" t="n"/>
      <c r="E11" s="40" t="n"/>
      <c r="F11" s="59" t="n"/>
      <c r="G11" s="58" t="n"/>
      <c r="H11" s="59" t="n"/>
      <c r="I11" s="60" t="n"/>
      <c r="J11" s="40" t="n"/>
      <c r="K11" s="43">
        <f>IFERROR(IF(E11="Buy",H11*100*J11,IF(E11="Sell",-H11*100*J11,0)),0)</f>
        <v/>
      </c>
      <c r="L11" s="43">
        <f>IFERROR(IF(E11="Buy",(I11-H11)*100*J11,IF(E11="Sell",(H11-I11)*100*J11,0)),0)</f>
        <v/>
      </c>
      <c r="M11" s="40" t="n"/>
    </row>
    <row r="12">
      <c r="A12" s="58" t="n"/>
      <c r="B12" s="40" t="n"/>
      <c r="C12" s="40" t="n"/>
      <c r="D12" s="40" t="n"/>
      <c r="E12" s="40" t="n"/>
      <c r="F12" s="59" t="n"/>
      <c r="G12" s="58" t="n"/>
      <c r="H12" s="59" t="n"/>
      <c r="I12" s="60" t="n"/>
      <c r="J12" s="40" t="n"/>
      <c r="K12" s="43">
        <f>IFERROR(IF(E12="Buy",H12*100*J12,IF(E12="Sell",-H12*100*J12,0)),0)</f>
        <v/>
      </c>
      <c r="L12" s="43">
        <f>IFERROR(IF(E12="Buy",(I12-H12)*100*J12,IF(E12="Sell",(H12-I12)*100*J12,0)),0)</f>
        <v/>
      </c>
      <c r="M12" s="40" t="n"/>
    </row>
    <row r="13">
      <c r="A13" s="58" t="n"/>
      <c r="B13" s="40" t="n"/>
      <c r="C13" s="40" t="n"/>
      <c r="D13" s="40" t="n"/>
      <c r="E13" s="40" t="n"/>
      <c r="F13" s="59" t="n"/>
      <c r="G13" s="58" t="n"/>
      <c r="H13" s="59" t="n"/>
      <c r="I13" s="60" t="n"/>
      <c r="J13" s="40" t="n"/>
      <c r="K13" s="43">
        <f>IFERROR(IF(E13="Buy",H13*100*J13,IF(E13="Sell",-H13*100*J13,0)),0)</f>
        <v/>
      </c>
      <c r="L13" s="43">
        <f>IFERROR(IF(E13="Buy",(I13-H13)*100*J13,IF(E13="Sell",(H13-I13)*100*J13,0)),0)</f>
        <v/>
      </c>
      <c r="M13" s="40" t="n"/>
    </row>
    <row r="14">
      <c r="A14" s="58" t="n"/>
      <c r="B14" s="40" t="n"/>
      <c r="C14" s="40" t="n"/>
      <c r="D14" s="40" t="n"/>
      <c r="E14" s="40" t="n"/>
      <c r="F14" s="59" t="n"/>
      <c r="G14" s="58" t="n"/>
      <c r="H14" s="59" t="n"/>
      <c r="I14" s="60" t="n"/>
      <c r="J14" s="40" t="n"/>
      <c r="K14" s="43">
        <f>IFERROR(IF(E14="Buy",H14*100*J14,IF(E14="Sell",-H14*100*J14,0)),0)</f>
        <v/>
      </c>
      <c r="L14" s="43">
        <f>IFERROR(IF(E14="Buy",(I14-H14)*100*J14,IF(E14="Sell",(H14-I14)*100*J14,0)),0)</f>
        <v/>
      </c>
      <c r="M14" s="40" t="n"/>
    </row>
    <row r="15">
      <c r="A15" s="58" t="n"/>
      <c r="B15" s="40" t="n"/>
      <c r="C15" s="40" t="n"/>
      <c r="D15" s="40" t="n"/>
      <c r="E15" s="40" t="n"/>
      <c r="F15" s="59" t="n"/>
      <c r="G15" s="58" t="n"/>
      <c r="H15" s="59" t="n"/>
      <c r="I15" s="60" t="n"/>
      <c r="J15" s="40" t="n"/>
      <c r="K15" s="43">
        <f>IFERROR(IF(E15="Buy",H15*100*J15,IF(E15="Sell",-H15*100*J15,0)),0)</f>
        <v/>
      </c>
      <c r="L15" s="43">
        <f>IFERROR(IF(E15="Buy",(I15-H15)*100*J15,IF(E15="Sell",(H15-I15)*100*J15,0)),0)</f>
        <v/>
      </c>
      <c r="M15" s="40" t="n"/>
    </row>
    <row r="16">
      <c r="A16" s="58" t="n"/>
      <c r="B16" s="40" t="n"/>
      <c r="C16" s="40" t="n"/>
      <c r="D16" s="40" t="n"/>
      <c r="E16" s="40" t="n"/>
      <c r="F16" s="59" t="n"/>
      <c r="G16" s="58" t="n"/>
      <c r="H16" s="59" t="n"/>
      <c r="I16" s="60" t="n"/>
      <c r="J16" s="40" t="n"/>
      <c r="K16" s="43">
        <f>IFERROR(IF(E16="Buy",H16*100*J16,IF(E16="Sell",-H16*100*J16,0)),0)</f>
        <v/>
      </c>
      <c r="L16" s="43">
        <f>IFERROR(IF(E16="Buy",(I16-H16)*100*J16,IF(E16="Sell",(H16-I16)*100*J16,0)),0)</f>
        <v/>
      </c>
      <c r="M16" s="40" t="n"/>
    </row>
    <row r="17">
      <c r="A17" s="58" t="n"/>
      <c r="B17" s="40" t="n"/>
      <c r="C17" s="40" t="n"/>
      <c r="D17" s="40" t="n"/>
      <c r="E17" s="40" t="n"/>
      <c r="F17" s="59" t="n"/>
      <c r="G17" s="58" t="n"/>
      <c r="H17" s="59" t="n"/>
      <c r="I17" s="60" t="n"/>
      <c r="J17" s="40" t="n"/>
      <c r="K17" s="43">
        <f>IFERROR(IF(E17="Buy",H17*100*J17,IF(E17="Sell",-H17*100*J17,0)),0)</f>
        <v/>
      </c>
      <c r="L17" s="43">
        <f>IFERROR(IF(E17="Buy",(I17-H17)*100*J17,IF(E17="Sell",(H17-I17)*100*J17,0)),0)</f>
        <v/>
      </c>
      <c r="M17" s="40" t="n"/>
    </row>
    <row r="18">
      <c r="A18" s="58" t="n"/>
      <c r="B18" s="40" t="n"/>
      <c r="C18" s="40" t="n"/>
      <c r="D18" s="40" t="n"/>
      <c r="E18" s="40" t="n"/>
      <c r="F18" s="59" t="n"/>
      <c r="G18" s="58" t="n"/>
      <c r="H18" s="59" t="n"/>
      <c r="I18" s="60" t="n"/>
      <c r="J18" s="40" t="n"/>
      <c r="K18" s="43">
        <f>IFERROR(IF(E18="Buy",H18*100*J18,IF(E18="Sell",-H18*100*J18,0)),0)</f>
        <v/>
      </c>
      <c r="L18" s="43">
        <f>IFERROR(IF(E18="Buy",(I18-H18)*100*J18,IF(E18="Sell",(H18-I18)*100*J18,0)),0)</f>
        <v/>
      </c>
      <c r="M18" s="40" t="n"/>
    </row>
    <row r="20">
      <c r="J20" s="28" t="inlineStr">
        <is>
          <t>TOTAL</t>
        </is>
      </c>
      <c r="K20" s="61">
        <f>SUM(K4:K18)</f>
        <v/>
      </c>
      <c r="L20" s="61">
        <f>SUM(L4:L18)</f>
        <v/>
      </c>
    </row>
  </sheetData>
  <mergeCells count="1">
    <mergeCell ref="A1:M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10" defaultColWidth="8.6640625" defaultRowHeight="15"/>
  <cols>
    <col width="12" customWidth="1" style="65" min="1" max="2"/>
    <col width="14" customWidth="1" style="65" min="3" max="3"/>
    <col width="30" customWidth="1" style="65" min="4" max="4"/>
    <col width="12" customWidth="1" style="65" min="5" max="5"/>
    <col width="14" customWidth="1" style="65" min="6" max="6"/>
    <col width="30" customWidth="1" style="65" min="7" max="8"/>
  </cols>
  <sheetData>
    <row r="1" ht="20" customHeight="1" s="65">
      <c r="A1" s="64" t="inlineStr">
        <is>
          <t>Trade Journal — log every trade, reread monthly</t>
        </is>
      </c>
    </row>
    <row r="3">
      <c r="A3" s="5" t="inlineStr">
        <is>
          <t>Date</t>
        </is>
      </c>
      <c r="B3" s="5" t="inlineStr">
        <is>
          <t>Ticker</t>
        </is>
      </c>
      <c r="C3" s="5" t="inlineStr">
        <is>
          <t>Strategy</t>
        </is>
      </c>
      <c r="D3" s="5" t="inlineStr">
        <is>
          <t>Thesis (why?)</t>
        </is>
      </c>
      <c r="E3" s="5" t="inlineStr">
        <is>
          <t>Outcome</t>
        </is>
      </c>
      <c r="F3" s="5" t="inlineStr">
        <is>
          <t>P&amp;L ($)</t>
        </is>
      </c>
      <c r="G3" s="5" t="inlineStr">
        <is>
          <t>What I learned</t>
        </is>
      </c>
      <c r="H3" s="5" t="inlineStr">
        <is>
          <t>Mistake to fix</t>
        </is>
      </c>
    </row>
    <row r="4" ht="24" customHeight="1" s="65">
      <c r="A4" s="62" t="n"/>
      <c r="B4" s="13" t="n"/>
      <c r="C4" s="13" t="n"/>
      <c r="D4" s="13" t="n"/>
      <c r="E4" s="13" t="n"/>
      <c r="F4" s="63" t="n"/>
      <c r="G4" s="13" t="n"/>
      <c r="H4" s="13" t="n"/>
    </row>
    <row r="5" ht="24" customHeight="1" s="65">
      <c r="A5" s="62" t="n"/>
      <c r="B5" s="13" t="n"/>
      <c r="C5" s="13" t="n"/>
      <c r="D5" s="13" t="n"/>
      <c r="E5" s="13" t="n"/>
      <c r="F5" s="63" t="n"/>
      <c r="G5" s="13" t="n"/>
      <c r="H5" s="13" t="n"/>
    </row>
    <row r="6" ht="24" customHeight="1" s="65">
      <c r="A6" s="62" t="n"/>
      <c r="B6" s="13" t="n"/>
      <c r="C6" s="13" t="n"/>
      <c r="D6" s="13" t="n"/>
      <c r="E6" s="13" t="n"/>
      <c r="F6" s="63" t="n"/>
      <c r="G6" s="13" t="n"/>
      <c r="H6" s="13" t="n"/>
    </row>
    <row r="7" ht="24" customHeight="1" s="65">
      <c r="A7" s="62" t="n"/>
      <c r="B7" s="13" t="n"/>
      <c r="C7" s="13" t="n"/>
      <c r="D7" s="13" t="n"/>
      <c r="E7" s="13" t="n"/>
      <c r="F7" s="63" t="n"/>
      <c r="G7" s="13" t="n"/>
      <c r="H7" s="13" t="n"/>
    </row>
    <row r="8" ht="24" customHeight="1" s="65">
      <c r="A8" s="62" t="n"/>
      <c r="B8" s="13" t="n"/>
      <c r="C8" s="13" t="n"/>
      <c r="D8" s="13" t="n"/>
      <c r="E8" s="13" t="n"/>
      <c r="F8" s="63" t="n"/>
      <c r="G8" s="13" t="n"/>
      <c r="H8" s="13" t="n"/>
    </row>
    <row r="9" ht="24" customHeight="1" s="65">
      <c r="A9" s="62" t="n"/>
      <c r="B9" s="13" t="n"/>
      <c r="C9" s="13" t="n"/>
      <c r="D9" s="13" t="n"/>
      <c r="E9" s="13" t="n"/>
      <c r="F9" s="63" t="n"/>
      <c r="G9" s="13" t="n"/>
      <c r="H9" s="13" t="n"/>
    </row>
    <row r="10" ht="24" customHeight="1" s="65">
      <c r="A10" s="62" t="n"/>
      <c r="B10" s="13" t="n"/>
      <c r="C10" s="13" t="n"/>
      <c r="D10" s="13" t="n"/>
      <c r="E10" s="13" t="n"/>
      <c r="F10" s="63" t="n"/>
      <c r="G10" s="13" t="n"/>
      <c r="H10" s="13" t="n"/>
    </row>
    <row r="11" ht="24" customHeight="1" s="65">
      <c r="A11" s="62" t="n"/>
      <c r="B11" s="13" t="n"/>
      <c r="C11" s="13" t="n"/>
      <c r="D11" s="13" t="n"/>
      <c r="E11" s="13" t="n"/>
      <c r="F11" s="63" t="n"/>
      <c r="G11" s="13" t="n"/>
      <c r="H11" s="13" t="n"/>
    </row>
    <row r="12" ht="24" customHeight="1" s="65">
      <c r="A12" s="62" t="n"/>
      <c r="B12" s="13" t="n"/>
      <c r="C12" s="13" t="n"/>
      <c r="D12" s="13" t="n"/>
      <c r="E12" s="13" t="n"/>
      <c r="F12" s="63" t="n"/>
      <c r="G12" s="13" t="n"/>
      <c r="H12" s="13" t="n"/>
    </row>
    <row r="13" ht="24" customHeight="1" s="65">
      <c r="A13" s="62" t="n"/>
      <c r="B13" s="13" t="n"/>
      <c r="C13" s="13" t="n"/>
      <c r="D13" s="13" t="n"/>
      <c r="E13" s="13" t="n"/>
      <c r="F13" s="63" t="n"/>
      <c r="G13" s="13" t="n"/>
      <c r="H13" s="13" t="n"/>
    </row>
    <row r="14" ht="24" customHeight="1" s="65">
      <c r="A14" s="62" t="n"/>
      <c r="B14" s="13" t="n"/>
      <c r="C14" s="13" t="n"/>
      <c r="D14" s="13" t="n"/>
      <c r="E14" s="13" t="n"/>
      <c r="F14" s="63" t="n"/>
      <c r="G14" s="13" t="n"/>
      <c r="H14" s="13" t="n"/>
    </row>
    <row r="15" ht="24" customHeight="1" s="65">
      <c r="A15" s="62" t="n"/>
      <c r="B15" s="13" t="n"/>
      <c r="C15" s="13" t="n"/>
      <c r="D15" s="13" t="n"/>
      <c r="E15" s="13" t="n"/>
      <c r="F15" s="63" t="n"/>
      <c r="G15" s="13" t="n"/>
      <c r="H15" s="13" t="n"/>
    </row>
    <row r="16" ht="24" customHeight="1" s="65">
      <c r="A16" s="62" t="n"/>
      <c r="B16" s="13" t="n"/>
      <c r="C16" s="13" t="n"/>
      <c r="D16" s="13" t="n"/>
      <c r="E16" s="13" t="n"/>
      <c r="F16" s="63" t="n"/>
      <c r="G16" s="13" t="n"/>
      <c r="H16" s="13" t="n"/>
    </row>
    <row r="17" ht="24" customHeight="1" s="65">
      <c r="A17" s="62" t="n"/>
      <c r="B17" s="13" t="n"/>
      <c r="C17" s="13" t="n"/>
      <c r="D17" s="13" t="n"/>
      <c r="E17" s="13" t="n"/>
      <c r="F17" s="63" t="n"/>
      <c r="G17" s="13" t="n"/>
      <c r="H17" s="13" t="n"/>
    </row>
    <row r="18" ht="24" customHeight="1" s="65">
      <c r="A18" s="62" t="n"/>
      <c r="B18" s="13" t="n"/>
      <c r="C18" s="13" t="n"/>
      <c r="D18" s="13" t="n"/>
      <c r="E18" s="13" t="n"/>
      <c r="F18" s="63" t="n"/>
      <c r="G18" s="13" t="n"/>
      <c r="H18" s="13" t="n"/>
    </row>
    <row r="19" ht="24" customHeight="1" s="65">
      <c r="A19" s="62" t="n"/>
      <c r="B19" s="13" t="n"/>
      <c r="C19" s="13" t="n"/>
      <c r="D19" s="13" t="n"/>
      <c r="E19" s="13" t="n"/>
      <c r="F19" s="63" t="n"/>
      <c r="G19" s="13" t="n"/>
      <c r="H19" s="13" t="n"/>
    </row>
    <row r="20" ht="24" customHeight="1" s="65">
      <c r="A20" s="62" t="n"/>
      <c r="B20" s="13" t="n"/>
      <c r="C20" s="13" t="n"/>
      <c r="D20" s="13" t="n"/>
      <c r="E20" s="13" t="n"/>
      <c r="F20" s="63" t="n"/>
      <c r="G20" s="13" t="n"/>
      <c r="H20" s="13" t="n"/>
    </row>
    <row r="21" ht="24" customHeight="1" s="65">
      <c r="A21" s="62" t="n"/>
      <c r="B21" s="13" t="n"/>
      <c r="C21" s="13" t="n"/>
      <c r="D21" s="13" t="n"/>
      <c r="E21" s="13" t="n"/>
      <c r="F21" s="63" t="n"/>
      <c r="G21" s="13" t="n"/>
      <c r="H21" s="13" t="n"/>
    </row>
    <row r="22" ht="24" customHeight="1" s="65">
      <c r="A22" s="62" t="n"/>
      <c r="B22" s="13" t="n"/>
      <c r="C22" s="13" t="n"/>
      <c r="D22" s="13" t="n"/>
      <c r="E22" s="13" t="n"/>
      <c r="F22" s="63" t="n"/>
      <c r="G22" s="13" t="n"/>
      <c r="H22" s="13" t="n"/>
    </row>
    <row r="23" ht="24" customHeight="1" s="65">
      <c r="A23" s="62" t="n"/>
      <c r="B23" s="13" t="n"/>
      <c r="C23" s="13" t="n"/>
      <c r="D23" s="13" t="n"/>
      <c r="E23" s="13" t="n"/>
      <c r="F23" s="63" t="n"/>
      <c r="G23" s="13" t="n"/>
      <c r="H23" s="13" t="n"/>
    </row>
    <row r="24" ht="24" customHeight="1" s="65">
      <c r="A24" s="62" t="n"/>
      <c r="B24" s="13" t="n"/>
      <c r="C24" s="13" t="n"/>
      <c r="D24" s="13" t="n"/>
      <c r="E24" s="13" t="n"/>
      <c r="F24" s="63" t="n"/>
      <c r="G24" s="13" t="n"/>
      <c r="H24" s="13" t="n"/>
    </row>
    <row r="25" ht="24" customHeight="1" s="65">
      <c r="A25" s="62" t="n"/>
      <c r="B25" s="13" t="n"/>
      <c r="C25" s="13" t="n"/>
      <c r="D25" s="13" t="n"/>
      <c r="E25" s="13" t="n"/>
      <c r="F25" s="63" t="n"/>
      <c r="G25" s="13" t="n"/>
      <c r="H25" s="13" t="n"/>
    </row>
    <row r="26" ht="24" customHeight="1" s="65">
      <c r="A26" s="62" t="n"/>
      <c r="B26" s="13" t="n"/>
      <c r="C26" s="13" t="n"/>
      <c r="D26" s="13" t="n"/>
      <c r="E26" s="13" t="n"/>
      <c r="F26" s="63" t="n"/>
      <c r="G26" s="13" t="n"/>
      <c r="H26" s="13" t="n"/>
    </row>
    <row r="27" ht="24" customHeight="1" s="65">
      <c r="A27" s="62" t="n"/>
      <c r="B27" s="13" t="n"/>
      <c r="C27" s="13" t="n"/>
      <c r="D27" s="13" t="n"/>
      <c r="E27" s="13" t="n"/>
      <c r="F27" s="63" t="n"/>
      <c r="G27" s="13" t="n"/>
      <c r="H27" s="13" t="n"/>
    </row>
    <row r="28" ht="24" customHeight="1" s="65">
      <c r="A28" s="62" t="n"/>
      <c r="B28" s="13" t="n"/>
      <c r="C28" s="13" t="n"/>
      <c r="D28" s="13" t="n"/>
      <c r="E28" s="13" t="n"/>
      <c r="F28" s="63" t="n"/>
      <c r="G28" s="13" t="n"/>
      <c r="H28" s="13" t="n"/>
    </row>
    <row r="29" ht="24" customHeight="1" s="65">
      <c r="A29" s="62" t="n"/>
      <c r="B29" s="13" t="n"/>
      <c r="C29" s="13" t="n"/>
      <c r="D29" s="13" t="n"/>
      <c r="E29" s="13" t="n"/>
      <c r="F29" s="63" t="n"/>
      <c r="G29" s="13" t="n"/>
      <c r="H29" s="13" t="n"/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2026-04-29T01:10:17Z</dcterms:created>
  <dcterms:modified xmlns:dcterms="http://purl.org/dc/terms/" xmlns:xsi="http://www.w3.org/2001/XMLSchema-instance" xsi:type="dcterms:W3CDTF">2026-04-30T15:25:06Z</dcterms:modified>
  <cp:lastModifiedBy>Dendukuri, Venkatadatta G</cp:lastModifiedBy>
  <cp:revision>0</cp:revision>
</cp:coreProperties>
</file>